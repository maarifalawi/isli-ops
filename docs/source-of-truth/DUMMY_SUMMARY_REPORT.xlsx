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LI\REPORT\"/>
    </mc:Choice>
  </mc:AlternateContent>
  <xr:revisionPtr revIDLastSave="0" documentId="13_ncr:1_{57F81E67-5152-463B-AA0D-D01CB7EBDD68}" xr6:coauthVersionLast="47" xr6:coauthVersionMax="47" xr10:uidLastSave="{00000000-0000-0000-0000-000000000000}"/>
  <bookViews>
    <workbookView xWindow="-110" yWindow="-110" windowWidth="19420" windowHeight="10300" firstSheet="1" activeTab="1" xr2:uid="{79BEE02B-1A90-4D54-A515-D9DCDAB9F433}"/>
  </bookViews>
  <sheets>
    <sheet name="BELUM ADA DI REPORT" sheetId="4" state="hidden" r:id="rId1"/>
    <sheet name="SUMMARY 2026" sheetId="5" r:id="rId2"/>
    <sheet name="EXIM" sheetId="2" r:id="rId3"/>
    <sheet name="DOM" sheetId="3" r:id="rId4"/>
    <sheet name="Sheet1" sheetId="6" state="hidden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1" i="3" l="1"/>
  <c r="Q17" i="2"/>
  <c r="O16" i="3"/>
  <c r="O20" i="3"/>
  <c r="O22" i="3"/>
  <c r="W45" i="3" l="1"/>
  <c r="O59" i="2" l="1"/>
  <c r="O85" i="3" l="1"/>
  <c r="O83" i="3"/>
  <c r="O82" i="3"/>
  <c r="Q83" i="3" l="1"/>
  <c r="R83" i="3" s="1"/>
  <c r="Q84" i="3"/>
  <c r="R84" i="3" s="1"/>
  <c r="Q82" i="3"/>
  <c r="R82" i="3" s="1"/>
  <c r="Q85" i="3"/>
  <c r="R85" i="3" s="1"/>
  <c r="O81" i="3" l="1"/>
  <c r="O80" i="3"/>
  <c r="O79" i="3"/>
  <c r="Q77" i="3" l="1"/>
  <c r="R77" i="3" s="1"/>
  <c r="Q80" i="3"/>
  <c r="R80" i="3" s="1"/>
  <c r="Q81" i="3"/>
  <c r="R81" i="3" s="1"/>
  <c r="Q78" i="3"/>
  <c r="R78" i="3" s="1"/>
  <c r="Q79" i="3"/>
  <c r="R79" i="3" s="1"/>
  <c r="O64" i="3"/>
  <c r="P91" i="3"/>
  <c r="E25" i="5" s="1"/>
  <c r="O91" i="3"/>
  <c r="D23" i="5"/>
  <c r="Q55" i="2"/>
  <c r="Q64" i="3" l="1"/>
  <c r="R64" i="3" s="1"/>
  <c r="Q76" i="3"/>
  <c r="D25" i="5"/>
  <c r="O69" i="3"/>
  <c r="O65" i="3"/>
  <c r="O55" i="3"/>
  <c r="O54" i="3"/>
  <c r="Q54" i="2"/>
  <c r="P74" i="3" l="1"/>
  <c r="F25" i="5"/>
  <c r="H25" i="5"/>
  <c r="R76" i="3"/>
  <c r="Q91" i="3"/>
  <c r="O74" i="3"/>
  <c r="Q48" i="2"/>
  <c r="Q47" i="2"/>
  <c r="Q46" i="2"/>
  <c r="Q43" i="2"/>
  <c r="Q45" i="2"/>
  <c r="Q59" i="2"/>
  <c r="F23" i="5" s="1"/>
  <c r="P59" i="2"/>
  <c r="E23" i="5" s="1"/>
  <c r="I25" i="5" s="1"/>
  <c r="J25" i="5" l="1"/>
  <c r="Q18" i="2"/>
  <c r="P13" i="2"/>
  <c r="E12" i="5" s="1"/>
  <c r="O13" i="2"/>
  <c r="D12" i="5" s="1"/>
  <c r="Q12" i="2" l="1"/>
  <c r="Q13" i="2" s="1"/>
  <c r="F12" i="5" s="1"/>
  <c r="Q71" i="3" l="1"/>
  <c r="R71" i="3" s="1"/>
  <c r="Q67" i="3"/>
  <c r="R67" i="3" s="1"/>
  <c r="Q44" i="2" l="1"/>
  <c r="Q42" i="2"/>
  <c r="Q41" i="2"/>
  <c r="Q24" i="2"/>
  <c r="Q66" i="3" l="1"/>
  <c r="R66" i="3" s="1"/>
  <c r="Q68" i="3" l="1"/>
  <c r="R68" i="3" s="1"/>
  <c r="Q70" i="3"/>
  <c r="R70" i="3" s="1"/>
  <c r="Q69" i="3"/>
  <c r="R69" i="3" s="1"/>
  <c r="Q65" i="3"/>
  <c r="R65" i="3" s="1"/>
  <c r="U42" i="3" l="1"/>
  <c r="Q60" i="3" l="1"/>
  <c r="R60" i="3" s="1"/>
  <c r="Q61" i="3"/>
  <c r="R61" i="3" s="1"/>
  <c r="Q63" i="3"/>
  <c r="R63" i="3" s="1"/>
  <c r="Q40" i="2" l="1"/>
  <c r="U44" i="3"/>
  <c r="U38" i="3"/>
  <c r="U36" i="3"/>
  <c r="U35" i="3"/>
  <c r="U31" i="3"/>
  <c r="W31" i="3" s="1"/>
  <c r="W29" i="3"/>
  <c r="U27" i="3"/>
  <c r="W27" i="3" s="1"/>
  <c r="U26" i="3"/>
  <c r="W26" i="3" s="1"/>
  <c r="U14" i="3"/>
  <c r="W14" i="3" s="1"/>
  <c r="U16" i="3"/>
  <c r="W16" i="3" s="1"/>
  <c r="U43" i="3"/>
  <c r="U33" i="3"/>
  <c r="U37" i="3"/>
  <c r="Q59" i="3" l="1"/>
  <c r="R59" i="3" s="1"/>
  <c r="Q58" i="3"/>
  <c r="R58" i="3" s="1"/>
  <c r="P50" i="2"/>
  <c r="O50" i="2"/>
  <c r="E19" i="5" l="1"/>
  <c r="Q39" i="2"/>
  <c r="Q50" i="2" s="1"/>
  <c r="F19" i="5" l="1"/>
  <c r="Q55" i="3"/>
  <c r="R55" i="3" s="1"/>
  <c r="Q54" i="3"/>
  <c r="Q56" i="3"/>
  <c r="R56" i="3" s="1"/>
  <c r="R54" i="3" l="1"/>
  <c r="C30" i="6"/>
  <c r="E12" i="6"/>
  <c r="D19" i="5" l="1"/>
  <c r="V32" i="2" l="1"/>
  <c r="V20" i="2"/>
  <c r="V17" i="2"/>
  <c r="O27" i="2" l="1"/>
  <c r="P27" i="2" l="1"/>
  <c r="E16" i="5" s="1"/>
  <c r="D16" i="5"/>
  <c r="O45" i="3"/>
  <c r="Q45" i="3" l="1"/>
  <c r="R45" i="3" s="1"/>
  <c r="Q43" i="3"/>
  <c r="R43" i="3" s="1"/>
  <c r="U20" i="3"/>
  <c r="W20" i="3" s="1"/>
  <c r="U21" i="3"/>
  <c r="W21" i="3" s="1"/>
  <c r="U17" i="3"/>
  <c r="W17" i="3" s="1"/>
  <c r="Q20" i="2" l="1"/>
  <c r="U13" i="3" l="1"/>
  <c r="U12" i="3"/>
  <c r="Q32" i="2" l="1"/>
  <c r="U19" i="3" l="1"/>
  <c r="W19" i="3" s="1"/>
  <c r="U18" i="3"/>
  <c r="W18" i="3" s="1"/>
  <c r="Q42" i="3" l="1"/>
  <c r="R42" i="3" s="1"/>
  <c r="Q37" i="3" l="1"/>
  <c r="R37" i="3" s="1"/>
  <c r="O38" i="3"/>
  <c r="W22" i="3" l="1"/>
  <c r="Q27" i="2" l="1"/>
  <c r="F16" i="5" s="1"/>
  <c r="V31" i="2"/>
  <c r="W13" i="3"/>
  <c r="W12" i="3"/>
  <c r="O35" i="3" l="1"/>
  <c r="O33" i="3"/>
  <c r="O31" i="3" l="1"/>
  <c r="W15" i="3" l="1"/>
  <c r="O30" i="3"/>
  <c r="O34" i="2" l="1"/>
  <c r="O64" i="2" s="1"/>
  <c r="P34" i="2" l="1"/>
  <c r="P64" i="2" s="1"/>
  <c r="Q31" i="2"/>
  <c r="D15" i="5" l="1"/>
  <c r="Q34" i="2"/>
  <c r="Q64" i="2" s="1"/>
  <c r="E15" i="5"/>
  <c r="O29" i="3"/>
  <c r="O27" i="3"/>
  <c r="F15" i="5" l="1"/>
  <c r="D17" i="5" l="1"/>
  <c r="H17" i="5" s="1"/>
  <c r="Q22" i="3" l="1"/>
  <c r="R22" i="3" s="1"/>
  <c r="O14" i="3"/>
  <c r="O24" i="3" l="1"/>
  <c r="O96" i="3" s="1"/>
  <c r="D13" i="5" l="1"/>
  <c r="H13" i="5" s="1"/>
  <c r="Q18" i="3"/>
  <c r="R18" i="3" s="1"/>
  <c r="Q19" i="3" l="1"/>
  <c r="R19" i="3" s="1"/>
  <c r="Q20" i="3"/>
  <c r="R20" i="3" s="1"/>
  <c r="Q14" i="3" l="1"/>
  <c r="R14" i="3" l="1"/>
  <c r="Q15" i="3" l="1"/>
  <c r="R15" i="3" l="1"/>
  <c r="Q16" i="3"/>
  <c r="R16" i="3" l="1"/>
  <c r="Q13" i="3" l="1"/>
  <c r="R13" i="3" s="1"/>
  <c r="Q12" i="3"/>
  <c r="R12" i="3" l="1"/>
  <c r="Q17" i="3" l="1"/>
  <c r="R17" i="3" l="1"/>
  <c r="Q21" i="3" l="1"/>
  <c r="Q24" i="3" s="1"/>
  <c r="P24" i="3"/>
  <c r="E13" i="5" l="1"/>
  <c r="I13" i="5" s="1"/>
  <c r="R21" i="3"/>
  <c r="F13" i="5" l="1"/>
  <c r="J13" i="5" s="1"/>
  <c r="Q39" i="3" l="1"/>
  <c r="R39" i="3" s="1"/>
  <c r="Q34" i="3" l="1"/>
  <c r="R34" i="3" s="1"/>
  <c r="Q26" i="3" l="1"/>
  <c r="R26" i="3" l="1"/>
  <c r="Q36" i="3" l="1"/>
  <c r="R36" i="3" l="1"/>
  <c r="Q27" i="3" l="1"/>
  <c r="R27" i="3" l="1"/>
  <c r="Q41" i="3" l="1"/>
  <c r="R41" i="3" s="1"/>
  <c r="Q40" i="3"/>
  <c r="R40" i="3" s="1"/>
  <c r="Q38" i="3" l="1"/>
  <c r="R38" i="3" s="1"/>
  <c r="Q33" i="3" l="1"/>
  <c r="R33" i="3" s="1"/>
  <c r="Q35" i="3" l="1"/>
  <c r="R35" i="3" s="1"/>
  <c r="Q30" i="3"/>
  <c r="R30" i="3" s="1"/>
  <c r="Q32" i="3" l="1"/>
  <c r="R32" i="3" s="1"/>
  <c r="Q31" i="3" l="1"/>
  <c r="R31" i="3" s="1"/>
  <c r="Q29" i="3" l="1"/>
  <c r="R29" i="3" s="1"/>
  <c r="Q28" i="3"/>
  <c r="R28" i="3" l="1"/>
  <c r="Q62" i="3" l="1"/>
  <c r="R62" i="3" l="1"/>
  <c r="D21" i="5" l="1"/>
  <c r="Q57" i="3"/>
  <c r="D37" i="5" l="1"/>
  <c r="H21" i="5"/>
  <c r="H37" i="5" s="1"/>
  <c r="Q74" i="3"/>
  <c r="E21" i="5"/>
  <c r="I21" i="5" s="1"/>
  <c r="R57" i="3"/>
  <c r="F21" i="5" l="1"/>
  <c r="J21" i="5" l="1"/>
  <c r="Q44" i="3" l="1"/>
  <c r="P51" i="3"/>
  <c r="R44" i="3" l="1"/>
  <c r="Q51" i="3"/>
  <c r="Q96" i="3" s="1"/>
  <c r="E17" i="5"/>
  <c r="P96" i="3"/>
  <c r="I17" i="5" l="1"/>
  <c r="I37" i="5" s="1"/>
  <c r="F17" i="5"/>
  <c r="E37" i="5"/>
  <c r="J17" i="5" l="1"/>
  <c r="J37" i="5" s="1"/>
  <c r="F37" i="5"/>
</calcChain>
</file>

<file path=xl/sharedStrings.xml><?xml version="1.0" encoding="utf-8"?>
<sst xmlns="http://schemas.openxmlformats.org/spreadsheetml/2006/main" count="880" uniqueCount="277">
  <si>
    <t>WEEKLY REPORT</t>
  </si>
  <si>
    <t>TAHUN</t>
  </si>
  <si>
    <t>NO</t>
  </si>
  <si>
    <t>STFG DATE</t>
  </si>
  <si>
    <t>NO JOB</t>
  </si>
  <si>
    <t>SALES</t>
  </si>
  <si>
    <t>TYPE SHIPMENT</t>
  </si>
  <si>
    <t>CUSTOMER</t>
  </si>
  <si>
    <t>POL</t>
  </si>
  <si>
    <t>POD</t>
  </si>
  <si>
    <t>SHIP LINE</t>
  </si>
  <si>
    <t>VESSEL</t>
  </si>
  <si>
    <t>ETD</t>
  </si>
  <si>
    <t>GP</t>
  </si>
  <si>
    <t>SEA</t>
  </si>
  <si>
    <t>QTY CTR</t>
  </si>
  <si>
    <t xml:space="preserve">SELLING </t>
  </si>
  <si>
    <t>COST</t>
  </si>
  <si>
    <t>DOMESTIK</t>
  </si>
  <si>
    <t>OTHERS</t>
  </si>
  <si>
    <t>JUNE</t>
  </si>
  <si>
    <t>MAY</t>
  </si>
  <si>
    <t>BULAN</t>
  </si>
  <si>
    <t>SELLING</t>
  </si>
  <si>
    <t>DIVISI</t>
  </si>
  <si>
    <t>DOMESTIC</t>
  </si>
  <si>
    <t>JULY</t>
  </si>
  <si>
    <t>PROFIT %</t>
  </si>
  <si>
    <r>
      <t>SEVFJK25040002 == s</t>
    </r>
    <r>
      <rPr>
        <sz val="11"/>
        <color rgb="FFFF0000"/>
        <rFont val="Aptos Narrow"/>
        <family val="2"/>
        <scheme val="minor"/>
      </rPr>
      <t>udah di input .. Di report masuk bulan Mei..di gsoft bulan april</t>
    </r>
  </si>
  <si>
    <t>EXPORT</t>
  </si>
  <si>
    <t>IMPORT</t>
  </si>
  <si>
    <t>SEPT</t>
  </si>
  <si>
    <t>TOTAL (IDR)</t>
  </si>
  <si>
    <t>: 2026</t>
  </si>
  <si>
    <t>APR</t>
  </si>
  <si>
    <t>AUG</t>
  </si>
  <si>
    <t>EXPORT &amp; IMPORT</t>
  </si>
  <si>
    <t xml:space="preserve">TGL CETAK INVOICE </t>
  </si>
  <si>
    <t xml:space="preserve">TGL PENGIRIMAN INVOICE </t>
  </si>
  <si>
    <t>TOP</t>
  </si>
  <si>
    <t xml:space="preserve">TGL JATUH TEMPO </t>
  </si>
  <si>
    <t xml:space="preserve">TGL PEMBAYARAN </t>
  </si>
  <si>
    <t xml:space="preserve">PEMBAYARAN </t>
  </si>
  <si>
    <t>USIA JATUH TEMPO</t>
  </si>
  <si>
    <t>TOTAL EXIM</t>
  </si>
  <si>
    <t>TOTAL DOMESTIK</t>
  </si>
  <si>
    <t>APRIL</t>
  </si>
  <si>
    <t>PT. INTEGRA SINERGI LOGITAMA INDONESIA</t>
  </si>
  <si>
    <t>KETERANGAN</t>
  </si>
  <si>
    <t>ISLI-26.04-001</t>
  </si>
  <si>
    <t>ISLI-26.04-002</t>
  </si>
  <si>
    <t>ISLI-26.04-003</t>
  </si>
  <si>
    <t>ISLI-26.04-004</t>
  </si>
  <si>
    <t>ISLI-26.04-005</t>
  </si>
  <si>
    <t>1X20'</t>
  </si>
  <si>
    <t>GLOBAL INDONESIA ASIA SEJAHTERA</t>
  </si>
  <si>
    <t>TOTAL BANGUN PERSADA</t>
  </si>
  <si>
    <t>SINAR INDAH LOGISTIK</t>
  </si>
  <si>
    <t>GLOBAL ANUGRAH LOGISTIK</t>
  </si>
  <si>
    <t>JAKARTA</t>
  </si>
  <si>
    <t>BANJARMASIN</t>
  </si>
  <si>
    <t>BATAM</t>
  </si>
  <si>
    <t>TJ. PINANG</t>
  </si>
  <si>
    <t>ICON</t>
  </si>
  <si>
    <t>MERATUS</t>
  </si>
  <si>
    <t>CTP</t>
  </si>
  <si>
    <t>IC IBRANI XI V.43/26</t>
  </si>
  <si>
    <t>MERATUS AMPANA JB464N</t>
  </si>
  <si>
    <t>INTAN DAYA 4 V. 13N26</t>
  </si>
  <si>
    <t>TOTAL APRIL</t>
  </si>
  <si>
    <t>ISLI-26.04-006</t>
  </si>
  <si>
    <t>ISLI-26.04-007</t>
  </si>
  <si>
    <t>ISLI-26.04-008</t>
  </si>
  <si>
    <t>ISLI-26.04-009</t>
  </si>
  <si>
    <t>ISLI-26.04-010</t>
  </si>
  <si>
    <t>PERAWANG</t>
  </si>
  <si>
    <t>SURABAYA</t>
  </si>
  <si>
    <t>PONTIANAK</t>
  </si>
  <si>
    <t>BELAWAN</t>
  </si>
  <si>
    <t>1X40'</t>
  </si>
  <si>
    <t>PULAU LAUT</t>
  </si>
  <si>
    <t>SINDO</t>
  </si>
  <si>
    <t>TEMAS</t>
  </si>
  <si>
    <t>3X20'</t>
  </si>
  <si>
    <t>LKA</t>
  </si>
  <si>
    <t>WGM 0285S</t>
  </si>
  <si>
    <t>LL 2528 V. 31 JN // Dody</t>
  </si>
  <si>
    <t>IZUMI MAS V.2226</t>
  </si>
  <si>
    <t>LINTAS 18 V.06/26</t>
  </si>
  <si>
    <t>ISLI-26.04-011</t>
  </si>
  <si>
    <t>DAVINDO</t>
  </si>
  <si>
    <t>BUSU PRIMA INTERNUSA</t>
  </si>
  <si>
    <t>ACEH</t>
  </si>
  <si>
    <t>MEI</t>
  </si>
  <si>
    <t>ISLI-26.05-001</t>
  </si>
  <si>
    <t>LAGUN MAS</t>
  </si>
  <si>
    <t>ISLI-26.05-002</t>
  </si>
  <si>
    <t>ICON IBRANI XI V.52/26</t>
  </si>
  <si>
    <t>ISLI-26.05-003</t>
  </si>
  <si>
    <t>BITUNG</t>
  </si>
  <si>
    <t>SPIL</t>
  </si>
  <si>
    <t>SELILI BARU</t>
  </si>
  <si>
    <t>ISLI-26.05-004</t>
  </si>
  <si>
    <t>2X20'</t>
  </si>
  <si>
    <t>TOTAL MEI</t>
  </si>
  <si>
    <t>INTAN DAYA 4</t>
  </si>
  <si>
    <t>ISLI-26.05-005</t>
  </si>
  <si>
    <t>MATEREE NUSANTARA</t>
  </si>
  <si>
    <t>PALU</t>
  </si>
  <si>
    <t>MERATUS KONAWE BS425N</t>
  </si>
  <si>
    <t>1X21'</t>
  </si>
  <si>
    <t>ISLI-26.05-006</t>
  </si>
  <si>
    <t>DIAMETRAL</t>
  </si>
  <si>
    <t>ISLI-26.04-001 (IMP)</t>
  </si>
  <si>
    <t>JKT</t>
  </si>
  <si>
    <t>MANILA</t>
  </si>
  <si>
    <t>SCANSHIPPPING</t>
  </si>
  <si>
    <t>CEBU PACIFIC 5J-760</t>
  </si>
  <si>
    <t>LCL</t>
  </si>
  <si>
    <t>ISLI-26.04-002 (IMP)</t>
  </si>
  <si>
    <t>RATINDO</t>
  </si>
  <si>
    <t>SHANGHAI</t>
  </si>
  <si>
    <t>ISLI-26.04-003 (IMP)</t>
  </si>
  <si>
    <t>FCL (CIF)</t>
  </si>
  <si>
    <t>ISLI-26.05-001 (EXP)</t>
  </si>
  <si>
    <t>ISLI-26.05-001 (IMP)</t>
  </si>
  <si>
    <t>QD</t>
  </si>
  <si>
    <t>FCL</t>
  </si>
  <si>
    <t>HOCHIMINH V.2604S</t>
  </si>
  <si>
    <t>ISLI-26.05-007</t>
  </si>
  <si>
    <t>IC IBRANI XI V.54</t>
  </si>
  <si>
    <t>PULAU LAYANG V.10</t>
  </si>
  <si>
    <t>LCL (AIRFREIGHT)</t>
  </si>
  <si>
    <t>ISLI-26.05-008</t>
  </si>
  <si>
    <t>MERATUS AMURANG VJB467N</t>
  </si>
  <si>
    <t>ISLI-26.05-009</t>
  </si>
  <si>
    <t>GORONTALO</t>
  </si>
  <si>
    <t>ISLI-26.05-010</t>
  </si>
  <si>
    <t>MEDAN</t>
  </si>
  <si>
    <t>ISLI-26.05-011</t>
  </si>
  <si>
    <t>FINAL</t>
  </si>
  <si>
    <t>TOTAL IMP APRIL</t>
  </si>
  <si>
    <t>TOTAL EXP MEI</t>
  </si>
  <si>
    <t>TOTAL IMP MEI</t>
  </si>
  <si>
    <t>ISLI-26.05-012</t>
  </si>
  <si>
    <t>ISLI-26.05-013</t>
  </si>
  <si>
    <t>ISLI-26.05-014</t>
  </si>
  <si>
    <t>KENDARI</t>
  </si>
  <si>
    <t>ISLI-26.05-015</t>
  </si>
  <si>
    <t>ISLI-26.05-016</t>
  </si>
  <si>
    <t>SELILI BARU V.10</t>
  </si>
  <si>
    <t>UMBUL MAS V.29</t>
  </si>
  <si>
    <t>LINTAS 18</t>
  </si>
  <si>
    <t>TANJUNG UNCANG</t>
  </si>
  <si>
    <t>TELAGA MAS V.43</t>
  </si>
  <si>
    <t>ISLI-26.05-017</t>
  </si>
  <si>
    <t>ISLI-26.05-018</t>
  </si>
  <si>
    <t>ORIENTAL EMERALD</t>
  </si>
  <si>
    <t>ISLI-26.05-019</t>
  </si>
  <si>
    <t>LINTAS MAHAKAM V.10</t>
  </si>
  <si>
    <t>HILIR MAS</t>
  </si>
  <si>
    <t>ISLI-26.05-020</t>
  </si>
  <si>
    <t>INTAN DAYA 298 V.12N26</t>
  </si>
  <si>
    <t>ISLI-26.05-002 (EXP)</t>
  </si>
  <si>
    <t>JUNI</t>
  </si>
  <si>
    <t>ONE</t>
  </si>
  <si>
    <t>ISLI-26.06-001 (EXP)</t>
  </si>
  <si>
    <t>ISLI-26.06-002 (EXP)</t>
  </si>
  <si>
    <t>ISLI-26.06-001</t>
  </si>
  <si>
    <t>ARMADA PERMATA V.09</t>
  </si>
  <si>
    <t>ISLI-26.06-002</t>
  </si>
  <si>
    <t>ISLI-26.06-003</t>
  </si>
  <si>
    <t>ISLI-26.06-004</t>
  </si>
  <si>
    <t>ISLI-26.06-003 (EXP)</t>
  </si>
  <si>
    <t>TOTAL EXP JUNI</t>
  </si>
  <si>
    <t>ISLI-26.06-005</t>
  </si>
  <si>
    <t>PEMBAYARAN PELAYARAN</t>
  </si>
  <si>
    <t xml:space="preserve">SELILI BARU </t>
  </si>
  <si>
    <t>PRW-PALU</t>
  </si>
  <si>
    <t>05-016</t>
  </si>
  <si>
    <t xml:space="preserve">PULAU LAYANG </t>
  </si>
  <si>
    <t>05-007</t>
  </si>
  <si>
    <t>UMBUL MAS</t>
  </si>
  <si>
    <t>PRW-KDI</t>
  </si>
  <si>
    <t>05-014</t>
  </si>
  <si>
    <t>TOTAL</t>
  </si>
  <si>
    <t xml:space="preserve">DROPPING </t>
  </si>
  <si>
    <t>PEMAKAIAN</t>
  </si>
  <si>
    <t>PENGEMBALIAN KE RATINDO</t>
  </si>
  <si>
    <t>PEMBAYARAN KM LINTAS MAHAKAM</t>
  </si>
  <si>
    <t>PELAYARAN</t>
  </si>
  <si>
    <t>PEMBAYARAN KM SELILI BARU</t>
  </si>
  <si>
    <t>PEMBAYARAN KM ORIENTAL EMERALD</t>
  </si>
  <si>
    <t>PEMBAYARAN KM PULAU LAYANG</t>
  </si>
  <si>
    <t>BONGKAR MUAT</t>
  </si>
  <si>
    <t>PEMBAYARAN CICILAN MOBIL</t>
  </si>
  <si>
    <t>PETTY CASH</t>
  </si>
  <si>
    <t>PEMBAYARAN KE GFLINE</t>
  </si>
  <si>
    <t>PEMBAYARAN DEA NATASIA</t>
  </si>
  <si>
    <t>AGENT DOORING</t>
  </si>
  <si>
    <t>TOTAL PEMBAYARAN</t>
  </si>
  <si>
    <t>PEMBAYARAN KE META LINTAS</t>
  </si>
  <si>
    <t>DARI PAK TEGUH</t>
  </si>
  <si>
    <t>LINTAS 18 V.009</t>
  </si>
  <si>
    <t>BALI GIANYAR V.016/26</t>
  </si>
  <si>
    <t>ISLI-26.06-006</t>
  </si>
  <si>
    <t>CNC</t>
  </si>
  <si>
    <t>ISLI-26.06-004 (EXP)</t>
  </si>
  <si>
    <t>MERATUS WAKATOBI BG214N</t>
  </si>
  <si>
    <t>ISLI-26.06-007</t>
  </si>
  <si>
    <t>ISLI-26.06-008</t>
  </si>
  <si>
    <t>ISLI-26.06-005 (EXP)</t>
  </si>
  <si>
    <t>ISLI-26.06-009</t>
  </si>
  <si>
    <t>LINTAS MAHAKAM V.12</t>
  </si>
  <si>
    <t>PULAU LAYANG V.13</t>
  </si>
  <si>
    <t>ISLI-26.06-010</t>
  </si>
  <si>
    <t>ISLI-26.06-011</t>
  </si>
  <si>
    <t>IC IBRANI XI V.67</t>
  </si>
  <si>
    <t xml:space="preserve">OK </t>
  </si>
  <si>
    <t>OK</t>
  </si>
  <si>
    <t>ISLI-26.06-012</t>
  </si>
  <si>
    <t>SAMARINDA</t>
  </si>
  <si>
    <t>IC BRAVOV.56</t>
  </si>
  <si>
    <t>ISLI-26.06-013</t>
  </si>
  <si>
    <t>(PENAGIHAN STORAGE DEMMURAGE )</t>
  </si>
  <si>
    <t>ISLI-26.06-014</t>
  </si>
  <si>
    <t xml:space="preserve">LINTAS 18 </t>
  </si>
  <si>
    <t>IC IBRANI XI V.69</t>
  </si>
  <si>
    <t>ISLI-26.06-015</t>
  </si>
  <si>
    <t>ISLI-26.06-016</t>
  </si>
  <si>
    <t>ISLI-26.06-006 (EXP)</t>
  </si>
  <si>
    <t>SAINT ANNE</t>
  </si>
  <si>
    <t>FORT DIAMANT</t>
  </si>
  <si>
    <t>ISLI-26.06-017</t>
  </si>
  <si>
    <t>BALI VIA SURABAYA</t>
  </si>
  <si>
    <t>INTAN DAYA 3</t>
  </si>
  <si>
    <t>JULI</t>
  </si>
  <si>
    <t>ISLI-26.07-001</t>
  </si>
  <si>
    <t>LINTAS MAHAKAM V.13</t>
  </si>
  <si>
    <t>ISLI-26.07-002</t>
  </si>
  <si>
    <t>TOTAL JUNI</t>
  </si>
  <si>
    <t>TOTAL JULI</t>
  </si>
  <si>
    <t>ISLI-26.07-001 (EXP)</t>
  </si>
  <si>
    <t>TOTAL EXP JULI</t>
  </si>
  <si>
    <t>ISLI-26.07-003</t>
  </si>
  <si>
    <t>MERATUS MEDAN 1 V.BG218N</t>
  </si>
  <si>
    <t>ISLI-26.07-004</t>
  </si>
  <si>
    <t>ISLI-26.07-005</t>
  </si>
  <si>
    <t>ICON IBRANI V.71</t>
  </si>
  <si>
    <t>ISLI-26.06-007 (EXP)</t>
  </si>
  <si>
    <t>FORT JAMES</t>
  </si>
  <si>
    <t>ISLI-26.07-006</t>
  </si>
  <si>
    <t>MATEREE</t>
  </si>
  <si>
    <t>ORIENTAL EMERALD V.10</t>
  </si>
  <si>
    <t>ISLI-26.07-002 (EXP)</t>
  </si>
  <si>
    <t>TOTAL MAY</t>
  </si>
  <si>
    <t>TOTAL JUNE</t>
  </si>
  <si>
    <t>TOTAL JULY</t>
  </si>
  <si>
    <t>ISLI-26.07-007</t>
  </si>
  <si>
    <t>SELILI BARU V.15</t>
  </si>
  <si>
    <t>ISLI-26.07-008</t>
  </si>
  <si>
    <t>ORIENTAL SILVER</t>
  </si>
  <si>
    <t>LATE 34 HARI</t>
  </si>
  <si>
    <t>LATE 3 HARI</t>
  </si>
  <si>
    <t>LATE 11 HARI</t>
  </si>
  <si>
    <t>LATE 10 HARI</t>
  </si>
  <si>
    <t>PAID</t>
  </si>
  <si>
    <t>ISLI-26.07-003 (EXP)</t>
  </si>
  <si>
    <t>ISLI-26.07-004 (EXP)</t>
  </si>
  <si>
    <t>ISLI-26.07-009</t>
  </si>
  <si>
    <t>PULAU LAYANG V.15</t>
  </si>
  <si>
    <t>ISLI-26.07-010</t>
  </si>
  <si>
    <t xml:space="preserve">HUANG HE MAS </t>
  </si>
  <si>
    <t>LATE 6 HARI</t>
  </si>
  <si>
    <t>KIM</t>
  </si>
  <si>
    <t>REIMBURSE</t>
  </si>
  <si>
    <t>AIRFREIGHT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</si>
</sst>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[$-13809]d\ mmm\ yyyy;@"/>
    <numFmt numFmtId="168" formatCode="#,##0.00;\-#,##0.00;#"/>
    <numFmt numFmtId="169" formatCode="#,##0;\-#,##0;#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1" tint="4.9989318521683403E-2"/>
      <name val="Aptos Narrow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sz val="11"/>
      <color theme="2" tint="-0.89999084444715716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theme="1" tint="4.9989318521683403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0" borderId="2" xfId="0" applyBorder="1"/>
    <xf numFmtId="0" fontId="0" fillId="0" borderId="2" xfId="0" applyBorder="1" applyAlignment="1">
      <alignment horizont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0" fillId="0" borderId="0" xfId="0" applyNumberFormat="1"/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1" applyNumberFormat="1" applyFont="1" applyBorder="1"/>
    <xf numFmtId="10" fontId="0" fillId="0" borderId="0" xfId="0" applyNumberFormat="1"/>
    <xf numFmtId="166" fontId="3" fillId="0" borderId="0" xfId="1" applyNumberFormat="1" applyFont="1" applyFill="1" applyBorder="1"/>
    <xf numFmtId="166" fontId="5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6" fontId="0" fillId="0" borderId="2" xfId="0" applyNumberFormat="1" applyBorder="1"/>
    <xf numFmtId="0" fontId="0" fillId="2" borderId="3" xfId="0" applyFill="1" applyBorder="1"/>
    <xf numFmtId="15" fontId="0" fillId="0" borderId="2" xfId="0" applyNumberFormat="1" applyBorder="1"/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/>
    <xf numFmtId="0" fontId="9" fillId="0" borderId="0" xfId="0" applyFont="1"/>
    <xf numFmtId="0" fontId="0" fillId="3" borderId="0" xfId="0" applyFill="1"/>
    <xf numFmtId="166" fontId="10" fillId="0" borderId="2" xfId="1" applyNumberFormat="1" applyFont="1" applyBorder="1"/>
    <xf numFmtId="10" fontId="11" fillId="0" borderId="2" xfId="0" applyNumberFormat="1" applyFont="1" applyBorder="1"/>
    <xf numFmtId="167" fontId="7" fillId="7" borderId="2" xfId="4" applyNumberFormat="1" applyFont="1" applyFill="1" applyBorder="1" applyAlignment="1">
      <alignment horizontal="center" vertical="center" wrapText="1"/>
    </xf>
    <xf numFmtId="164" fontId="12" fillId="7" borderId="2" xfId="4" applyNumberFormat="1" applyFont="1" applyFill="1" applyBorder="1" applyAlignment="1">
      <alignment horizontal="center" vertical="center" wrapText="1"/>
    </xf>
    <xf numFmtId="14" fontId="12" fillId="7" borderId="2" xfId="4" applyNumberFormat="1" applyFont="1" applyFill="1" applyBorder="1" applyAlignment="1">
      <alignment horizontal="center" vertical="center" wrapText="1"/>
    </xf>
    <xf numFmtId="167" fontId="12" fillId="7" borderId="2" xfId="4" applyNumberFormat="1" applyFont="1" applyFill="1" applyBorder="1" applyAlignment="1">
      <alignment horizontal="center" vertical="center" wrapText="1"/>
    </xf>
    <xf numFmtId="166" fontId="12" fillId="7" borderId="2" xfId="4" applyNumberFormat="1" applyFont="1" applyFill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166" fontId="0" fillId="0" borderId="3" xfId="1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67" fontId="0" fillId="0" borderId="2" xfId="0" applyNumberFormat="1" applyBorder="1"/>
    <xf numFmtId="15" fontId="3" fillId="0" borderId="2" xfId="1" applyNumberFormat="1" applyFont="1" applyFill="1" applyBorder="1"/>
    <xf numFmtId="15" fontId="5" fillId="0" borderId="2" xfId="0" applyNumberFormat="1" applyFont="1" applyBorder="1"/>
    <xf numFmtId="15" fontId="3" fillId="0" borderId="2" xfId="0" applyNumberFormat="1" applyFont="1" applyBorder="1"/>
    <xf numFmtId="15" fontId="13" fillId="0" borderId="2" xfId="0" applyNumberFormat="1" applyFont="1" applyBorder="1"/>
    <xf numFmtId="16" fontId="15" fillId="5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6" borderId="2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166" fontId="0" fillId="0" borderId="2" xfId="1" applyNumberFormat="1" applyFont="1" applyFill="1" applyBorder="1"/>
    <xf numFmtId="168" fontId="17" fillId="0" borderId="2" xfId="0" applyNumberFormat="1" applyFont="1" applyBorder="1" applyAlignment="1">
      <alignment horizontal="right" vertical="top"/>
    </xf>
    <xf numFmtId="15" fontId="0" fillId="0" borderId="3" xfId="0" applyNumberFormat="1" applyBorder="1" applyAlignment="1">
      <alignment horizontal="center" vertical="center"/>
    </xf>
    <xf numFmtId="168" fontId="16" fillId="0" borderId="2" xfId="0" applyNumberFormat="1" applyFont="1" applyBorder="1" applyAlignment="1">
      <alignment horizontal="right" vertical="top"/>
    </xf>
    <xf numFmtId="166" fontId="0" fillId="0" borderId="2" xfId="1" applyNumberFormat="1" applyFont="1" applyFill="1" applyBorder="1" applyAlignment="1">
      <alignment vertical="center"/>
    </xf>
    <xf numFmtId="15" fontId="14" fillId="0" borderId="2" xfId="0" applyNumberFormat="1" applyFont="1" applyBorder="1"/>
    <xf numFmtId="0" fontId="3" fillId="0" borderId="2" xfId="0" applyFont="1" applyBorder="1"/>
    <xf numFmtId="0" fontId="0" fillId="0" borderId="3" xfId="0" applyBorder="1" applyAlignment="1">
      <alignment horizontal="center"/>
    </xf>
    <xf numFmtId="0" fontId="16" fillId="0" borderId="2" xfId="0" applyFont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vertical="center"/>
    </xf>
    <xf numFmtId="166" fontId="0" fillId="0" borderId="2" xfId="1" applyNumberFormat="1" applyFont="1" applyFill="1" applyBorder="1" applyAlignment="1">
      <alignment horizontal="center" vertical="center"/>
    </xf>
    <xf numFmtId="166" fontId="17" fillId="0" borderId="2" xfId="1" applyNumberFormat="1" applyFont="1" applyFill="1" applyBorder="1" applyAlignment="1">
      <alignment vertical="center"/>
    </xf>
    <xf numFmtId="166" fontId="17" fillId="0" borderId="2" xfId="1" applyNumberFormat="1" applyFont="1" applyBorder="1"/>
    <xf numFmtId="0" fontId="18" fillId="6" borderId="2" xfId="0" applyFont="1" applyFill="1" applyBorder="1" applyAlignment="1">
      <alignment horizontal="center" vertical="center"/>
    </xf>
    <xf numFmtId="164" fontId="18" fillId="6" borderId="2" xfId="0" applyNumberFormat="1" applyFont="1" applyFill="1" applyBorder="1" applyAlignment="1">
      <alignment horizontal="center" vertical="center"/>
    </xf>
    <xf numFmtId="166" fontId="18" fillId="6" borderId="2" xfId="0" applyNumberFormat="1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vertical="center"/>
    </xf>
    <xf numFmtId="0" fontId="6" fillId="0" borderId="0" xfId="0" applyFont="1"/>
    <xf numFmtId="15" fontId="14" fillId="0" borderId="2" xfId="0" applyNumberFormat="1" applyFont="1" applyBorder="1" applyAlignment="1">
      <alignment horizontal="center"/>
    </xf>
    <xf numFmtId="166" fontId="5" fillId="0" borderId="0" xfId="1" applyNumberFormat="1" applyFont="1" applyFill="1" applyBorder="1"/>
    <xf numFmtId="15" fontId="7" fillId="6" borderId="3" xfId="0" applyNumberFormat="1" applyFont="1" applyFill="1" applyBorder="1" applyAlignment="1">
      <alignment horizontal="center" vertical="center"/>
    </xf>
    <xf numFmtId="15" fontId="8" fillId="6" borderId="2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/>
    <xf numFmtId="166" fontId="7" fillId="6" borderId="2" xfId="0" applyNumberFormat="1" applyFont="1" applyFill="1" applyBorder="1"/>
    <xf numFmtId="0" fontId="7" fillId="6" borderId="2" xfId="0" applyFont="1" applyFill="1" applyBorder="1"/>
    <xf numFmtId="0" fontId="13" fillId="4" borderId="3" xfId="0" applyFont="1" applyFill="1" applyBorder="1" applyAlignment="1">
      <alignment horizontal="center" vertical="center"/>
    </xf>
    <xf numFmtId="0" fontId="0" fillId="0" borderId="2" xfId="0" quotePrefix="1" applyBorder="1"/>
    <xf numFmtId="0" fontId="0" fillId="0" borderId="2" xfId="0" applyBorder="1" applyAlignment="1">
      <alignment horizontal="right"/>
    </xf>
    <xf numFmtId="166" fontId="0" fillId="3" borderId="2" xfId="0" applyNumberFormat="1" applyFill="1" applyBorder="1"/>
    <xf numFmtId="15" fontId="0" fillId="0" borderId="3" xfId="0" applyNumberForma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0" fillId="0" borderId="3" xfId="0" applyBorder="1"/>
    <xf numFmtId="168" fontId="19" fillId="6" borderId="2" xfId="0" applyNumberFormat="1" applyFont="1" applyFill="1" applyBorder="1" applyAlignment="1">
      <alignment horizontal="right" vertical="top"/>
    </xf>
    <xf numFmtId="168" fontId="20" fillId="6" borderId="2" xfId="0" applyNumberFormat="1" applyFont="1" applyFill="1" applyBorder="1" applyAlignment="1">
      <alignment horizontal="right" vertical="top"/>
    </xf>
    <xf numFmtId="166" fontId="21" fillId="6" borderId="2" xfId="1" applyNumberFormat="1" applyFont="1" applyFill="1" applyBorder="1" applyAlignment="1">
      <alignment vertical="center"/>
    </xf>
    <xf numFmtId="166" fontId="7" fillId="6" borderId="2" xfId="1" applyNumberFormat="1" applyFont="1" applyFill="1" applyBorder="1" applyAlignment="1">
      <alignment vertical="center"/>
    </xf>
    <xf numFmtId="169" fontId="19" fillId="6" borderId="2" xfId="0" applyNumberFormat="1" applyFont="1" applyFill="1" applyBorder="1" applyAlignment="1">
      <alignment horizontal="right" vertical="top"/>
    </xf>
    <xf numFmtId="169" fontId="20" fillId="6" borderId="2" xfId="0" applyNumberFormat="1" applyFont="1" applyFill="1" applyBorder="1" applyAlignment="1">
      <alignment horizontal="right" vertical="top"/>
    </xf>
    <xf numFmtId="169" fontId="20" fillId="6" borderId="2" xfId="1" applyNumberFormat="1" applyFont="1" applyFill="1" applyBorder="1" applyAlignment="1">
      <alignment vertical="center"/>
    </xf>
    <xf numFmtId="166" fontId="7" fillId="6" borderId="2" xfId="1" applyNumberFormat="1" applyFont="1" applyFill="1" applyBorder="1"/>
    <xf numFmtId="10" fontId="6" fillId="0" borderId="0" xfId="0" applyNumberFormat="1" applyFont="1"/>
    <xf numFmtId="166" fontId="0" fillId="0" borderId="0" xfId="1" applyNumberFormat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15" fontId="13" fillId="0" borderId="2" xfId="0" applyNumberFormat="1" applyFont="1" applyFill="1" applyBorder="1"/>
    <xf numFmtId="15" fontId="0" fillId="0" borderId="2" xfId="0" applyNumberFormat="1" applyFill="1" applyBorder="1"/>
    <xf numFmtId="0" fontId="0" fillId="0" borderId="2" xfId="0" applyFill="1" applyBorder="1"/>
    <xf numFmtId="0" fontId="0" fillId="0" borderId="0" xfId="0" applyFill="1"/>
    <xf numFmtId="166" fontId="10" fillId="0" borderId="2" xfId="1" applyNumberFormat="1" applyFont="1" applyFill="1" applyBorder="1"/>
    <xf numFmtId="0" fontId="22" fillId="0" borderId="2" xfId="0" applyFont="1" applyFill="1" applyBorder="1" applyAlignment="1">
      <alignment horizontal="center"/>
    </xf>
    <xf numFmtId="15" fontId="22" fillId="0" borderId="2" xfId="0" applyNumberFormat="1" applyFont="1" applyFill="1" applyBorder="1"/>
    <xf numFmtId="0" fontId="22" fillId="0" borderId="2" xfId="0" applyFont="1" applyFill="1" applyBorder="1" applyAlignment="1">
      <alignment horizontal="center" vertical="center"/>
    </xf>
    <xf numFmtId="0" fontId="22" fillId="0" borderId="2" xfId="0" applyFont="1" applyFill="1" applyBorder="1"/>
    <xf numFmtId="0" fontId="23" fillId="0" borderId="2" xfId="0" applyFont="1" applyFill="1" applyBorder="1" applyAlignment="1">
      <alignment horizontal="center" vertical="center"/>
    </xf>
    <xf numFmtId="15" fontId="23" fillId="0" borderId="2" xfId="0" applyNumberFormat="1" applyFont="1" applyFill="1" applyBorder="1" applyAlignment="1">
      <alignment horizontal="center" vertical="center"/>
    </xf>
    <xf numFmtId="166" fontId="22" fillId="0" borderId="2" xfId="1" applyNumberFormat="1" applyFont="1" applyFill="1" applyBorder="1" applyAlignment="1">
      <alignment horizontal="right" vertical="top"/>
    </xf>
    <xf numFmtId="10" fontId="10" fillId="0" borderId="2" xfId="0" applyNumberFormat="1" applyFont="1" applyFill="1" applyBorder="1"/>
    <xf numFmtId="0" fontId="22" fillId="0" borderId="0" xfId="0" applyFont="1" applyFill="1"/>
    <xf numFmtId="15" fontId="22" fillId="0" borderId="2" xfId="0" applyNumberFormat="1" applyFont="1" applyFill="1" applyBorder="1" applyAlignment="1">
      <alignment horizontal="center"/>
    </xf>
    <xf numFmtId="166" fontId="22" fillId="0" borderId="1" xfId="1" applyNumberFormat="1" applyFont="1" applyFill="1" applyBorder="1"/>
    <xf numFmtId="166" fontId="22" fillId="0" borderId="3" xfId="1" applyNumberFormat="1" applyFont="1" applyFill="1" applyBorder="1"/>
    <xf numFmtId="166" fontId="22" fillId="0" borderId="2" xfId="1" applyNumberFormat="1" applyFont="1" applyFill="1" applyBorder="1"/>
    <xf numFmtId="164" fontId="22" fillId="0" borderId="2" xfId="0" applyNumberFormat="1" applyFont="1" applyFill="1" applyBorder="1"/>
    <xf numFmtId="167" fontId="22" fillId="0" borderId="2" xfId="0" applyNumberFormat="1" applyFont="1" applyFill="1" applyBorder="1"/>
    <xf numFmtId="167" fontId="22" fillId="0" borderId="2" xfId="0" applyNumberFormat="1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/>
    <xf numFmtId="0" fontId="22" fillId="4" borderId="2" xfId="0" applyFont="1" applyFill="1" applyBorder="1" applyAlignment="1">
      <alignment horizontal="center" vertical="center"/>
    </xf>
    <xf numFmtId="15" fontId="23" fillId="0" borderId="2" xfId="0" applyNumberFormat="1" applyFont="1" applyBorder="1" applyAlignment="1">
      <alignment horizontal="center" vertical="center"/>
    </xf>
    <xf numFmtId="164" fontId="22" fillId="0" borderId="2" xfId="0" applyNumberFormat="1" applyFont="1" applyBorder="1"/>
    <xf numFmtId="166" fontId="22" fillId="0" borderId="2" xfId="0" applyNumberFormat="1" applyFont="1" applyBorder="1"/>
    <xf numFmtId="10" fontId="10" fillId="0" borderId="2" xfId="0" applyNumberFormat="1" applyFont="1" applyBorder="1"/>
    <xf numFmtId="0" fontId="22" fillId="0" borderId="0" xfId="0" applyFont="1"/>
    <xf numFmtId="15" fontId="22" fillId="0" borderId="2" xfId="0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/>
    </xf>
    <xf numFmtId="167" fontId="22" fillId="0" borderId="2" xfId="0" applyNumberFormat="1" applyFont="1" applyBorder="1"/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2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22" fillId="4" borderId="3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15" fontId="23" fillId="0" borderId="3" xfId="0" applyNumberFormat="1" applyFont="1" applyBorder="1" applyAlignment="1">
      <alignment horizontal="center" vertical="center"/>
    </xf>
    <xf numFmtId="0" fontId="22" fillId="0" borderId="4" xfId="0" applyFont="1" applyBorder="1"/>
    <xf numFmtId="0" fontId="22" fillId="0" borderId="6" xfId="0" applyFont="1" applyBorder="1"/>
    <xf numFmtId="0" fontId="22" fillId="0" borderId="5" xfId="0" applyFont="1" applyBorder="1"/>
    <xf numFmtId="0" fontId="0" fillId="0" borderId="3" xfId="0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3" fillId="0" borderId="2" xfId="0" applyFont="1" applyFill="1" applyBorder="1"/>
    <xf numFmtId="0" fontId="23" fillId="0" borderId="2" xfId="0" applyFont="1" applyFill="1" applyBorder="1" applyAlignment="1">
      <alignment horizontal="center"/>
    </xf>
    <xf numFmtId="15" fontId="22" fillId="0" borderId="3" xfId="0" applyNumberFormat="1" applyFont="1" applyFill="1" applyBorder="1" applyAlignment="1">
      <alignment horizontal="center" vertical="center"/>
    </xf>
    <xf numFmtId="169" fontId="10" fillId="0" borderId="2" xfId="0" applyNumberFormat="1" applyFont="1" applyFill="1" applyBorder="1" applyAlignment="1">
      <alignment horizontal="right" vertical="top"/>
    </xf>
    <xf numFmtId="169" fontId="22" fillId="0" borderId="2" xfId="0" applyNumberFormat="1" applyFont="1" applyFill="1" applyBorder="1" applyAlignment="1">
      <alignment horizontal="right" vertical="top"/>
    </xf>
    <xf numFmtId="169" fontId="22" fillId="0" borderId="2" xfId="1" applyNumberFormat="1" applyFont="1" applyFill="1" applyBorder="1" applyAlignment="1">
      <alignment vertical="center"/>
    </xf>
    <xf numFmtId="166" fontId="23" fillId="0" borderId="0" xfId="1" applyNumberFormat="1" applyFont="1" applyFill="1" applyBorder="1"/>
    <xf numFmtId="15" fontId="23" fillId="0" borderId="2" xfId="1" applyNumberFormat="1" applyFont="1" applyFill="1" applyBorder="1"/>
    <xf numFmtId="15" fontId="23" fillId="0" borderId="2" xfId="0" applyNumberFormat="1" applyFont="1" applyFill="1" applyBorder="1"/>
    <xf numFmtId="0" fontId="23" fillId="0" borderId="0" xfId="0" applyFont="1" applyFill="1"/>
    <xf numFmtId="0" fontId="22" fillId="0" borderId="3" xfId="0" applyFont="1" applyBorder="1" applyAlignment="1">
      <alignment horizontal="center" vertical="center"/>
    </xf>
    <xf numFmtId="166" fontId="22" fillId="0" borderId="2" xfId="1" applyNumberFormat="1" applyFont="1" applyFill="1" applyBorder="1" applyAlignment="1">
      <alignment vertical="center"/>
    </xf>
    <xf numFmtId="15" fontId="23" fillId="0" borderId="2" xfId="1" applyNumberFormat="1" applyFont="1" applyFill="1" applyBorder="1" applyAlignment="1">
      <alignment horizontal="center"/>
    </xf>
    <xf numFmtId="168" fontId="10" fillId="0" borderId="2" xfId="0" applyNumberFormat="1" applyFont="1" applyFill="1" applyBorder="1" applyAlignment="1">
      <alignment horizontal="right" vertical="top"/>
    </xf>
    <xf numFmtId="168" fontId="22" fillId="0" borderId="2" xfId="0" applyNumberFormat="1" applyFont="1" applyFill="1" applyBorder="1" applyAlignment="1">
      <alignment horizontal="right" vertical="top"/>
    </xf>
    <xf numFmtId="15" fontId="23" fillId="0" borderId="2" xfId="0" applyNumberFormat="1" applyFont="1" applyFill="1" applyBorder="1" applyAlignment="1">
      <alignment horizontal="center"/>
    </xf>
    <xf numFmtId="0" fontId="22" fillId="0" borderId="3" xfId="0" applyFont="1" applyFill="1" applyBorder="1" applyAlignment="1">
      <alignment horizontal="left" vertical="center"/>
    </xf>
    <xf numFmtId="15" fontId="23" fillId="0" borderId="2" xfId="0" applyNumberFormat="1" applyFont="1" applyFill="1" applyBorder="1" applyAlignment="1">
      <alignment horizontal="right"/>
    </xf>
    <xf numFmtId="0" fontId="22" fillId="0" borderId="3" xfId="0" applyFont="1" applyFill="1" applyBorder="1" applyAlignment="1">
      <alignment horizontal="center"/>
    </xf>
    <xf numFmtId="0" fontId="23" fillId="0" borderId="3" xfId="0" applyFont="1" applyFill="1" applyBorder="1" applyAlignment="1">
      <alignment horizontal="center"/>
    </xf>
    <xf numFmtId="15" fontId="22" fillId="0" borderId="3" xfId="0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166" fontId="22" fillId="0" borderId="2" xfId="1" applyNumberFormat="1" applyFont="1" applyBorder="1"/>
    <xf numFmtId="15" fontId="22" fillId="0" borderId="2" xfId="0" applyNumberFormat="1" applyFont="1" applyBorder="1"/>
    <xf numFmtId="0" fontId="7" fillId="0" borderId="0" xfId="0" applyFont="1" applyFill="1"/>
  </cellXfs>
  <cellStyles count="5">
    <cellStyle name="Comma" xfId="1" builtinId="3"/>
    <cellStyle name="Comma 2" xfId="2" xr:uid="{7A08CF59-47AD-4A7F-B8BD-06AE7FBCA896}"/>
    <cellStyle name="Currency 2" xfId="3" xr:uid="{AF250C25-CEA7-461A-B942-68525EE4029B}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SLI\SO%202026\SO%20BULAN%20APRIL%202026.xlsx" TargetMode="External"/><Relationship Id="rId1" Type="http://schemas.openxmlformats.org/officeDocument/2006/relationships/externalLinkPath" Target="/ISLI/SO%202026/SO%20BULAN%20AP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SLI\SO%202026\SO%20DOMESTIK%20BULAN%20MEI%202026.xlsx" TargetMode="External"/><Relationship Id="rId1" Type="http://schemas.openxmlformats.org/officeDocument/2006/relationships/externalLinkPath" Target="/ISLI/SO%202026/SO%20DOMESTIK%20BULAN%20ME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9d8988de4534b85/SO%20DOMESTIK%20BULAN%20JUNI%202026.xlsx" TargetMode="External"/><Relationship Id="rId1" Type="http://schemas.openxmlformats.org/officeDocument/2006/relationships/externalLinkPath" Target="https://d.docs.live.net/69d8988de4534b85/SO%20DOMESTIK%20BULAN%20JUNI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SLI\SO%202026\SO%20DOMESTIK%20BULAN%20JULI%202026.xlsx" TargetMode="External"/><Relationship Id="rId1" Type="http://schemas.openxmlformats.org/officeDocument/2006/relationships/externalLinkPath" Target="/ISLI/SO%202026/SO%20DOMESTIK%20BULAN%20JUL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4-001"/>
      <sheetName val="04-002"/>
      <sheetName val="04-003"/>
      <sheetName val="04-004"/>
      <sheetName val="04-005"/>
      <sheetName val="04-006"/>
      <sheetName val="04-007"/>
      <sheetName val="04-008"/>
      <sheetName val="04-009"/>
      <sheetName val="04-010"/>
      <sheetName val="04-011"/>
      <sheetName val="Sheet2"/>
    </sheetNames>
    <sheetDataSet>
      <sheetData sheetId="0">
        <row r="16">
          <cell r="E16">
            <v>15133532</v>
          </cell>
        </row>
      </sheetData>
      <sheetData sheetId="1">
        <row r="16">
          <cell r="E16">
            <v>15133532</v>
          </cell>
        </row>
      </sheetData>
      <sheetData sheetId="2">
        <row r="16">
          <cell r="E16">
            <v>16500000</v>
          </cell>
        </row>
      </sheetData>
      <sheetData sheetId="3">
        <row r="16">
          <cell r="E16">
            <v>31651830</v>
          </cell>
        </row>
      </sheetData>
      <sheetData sheetId="4">
        <row r="16">
          <cell r="E16">
            <v>17500000</v>
          </cell>
        </row>
      </sheetData>
      <sheetData sheetId="5">
        <row r="16">
          <cell r="E16">
            <v>36597428</v>
          </cell>
        </row>
      </sheetData>
      <sheetData sheetId="6">
        <row r="16">
          <cell r="E16">
            <v>14836795</v>
          </cell>
        </row>
      </sheetData>
      <sheetData sheetId="7">
        <row r="16">
          <cell r="F16">
            <v>48961425</v>
          </cell>
        </row>
      </sheetData>
      <sheetData sheetId="8">
        <row r="16">
          <cell r="E16">
            <v>29300000</v>
          </cell>
        </row>
      </sheetData>
      <sheetData sheetId="9">
        <row r="16">
          <cell r="E16">
            <v>36597428</v>
          </cell>
        </row>
      </sheetData>
      <sheetData sheetId="10">
        <row r="16">
          <cell r="E16">
            <v>21200000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001"/>
      <sheetName val="05-002"/>
      <sheetName val="05-003"/>
      <sheetName val="05-004"/>
      <sheetName val="05-005"/>
      <sheetName val="05-006"/>
      <sheetName val="05-007"/>
      <sheetName val="05-008"/>
      <sheetName val="05-009"/>
      <sheetName val="05-010"/>
      <sheetName val="05-011"/>
      <sheetName val="05-012"/>
      <sheetName val="05-013"/>
      <sheetName val="05-014"/>
      <sheetName val="05-015"/>
      <sheetName val="05-016"/>
      <sheetName val="05-017"/>
      <sheetName val="05-018"/>
      <sheetName val="05-019"/>
      <sheetName val="05-020"/>
      <sheetName val="05-021"/>
      <sheetName val="05-022"/>
      <sheetName val="05-023"/>
      <sheetName val="05-024"/>
      <sheetName val="05-025"/>
      <sheetName val="JAMCONT"/>
    </sheetNames>
    <sheetDataSet>
      <sheetData sheetId="0">
        <row r="16">
          <cell r="E16">
            <v>24000000</v>
          </cell>
        </row>
      </sheetData>
      <sheetData sheetId="1">
        <row r="16">
          <cell r="E16">
            <v>16500000</v>
          </cell>
        </row>
      </sheetData>
      <sheetData sheetId="2">
        <row r="16">
          <cell r="E16">
            <v>37586548</v>
          </cell>
        </row>
      </sheetData>
      <sheetData sheetId="3">
        <row r="16">
          <cell r="G16">
            <v>41000000</v>
          </cell>
        </row>
      </sheetData>
      <sheetData sheetId="4">
        <row r="16">
          <cell r="E16">
            <v>24300000</v>
          </cell>
        </row>
      </sheetData>
      <sheetData sheetId="5">
        <row r="16">
          <cell r="G16">
            <v>33000000</v>
          </cell>
        </row>
      </sheetData>
      <sheetData sheetId="6">
        <row r="16">
          <cell r="E16">
            <v>36894164</v>
          </cell>
        </row>
      </sheetData>
      <sheetData sheetId="7">
        <row r="16">
          <cell r="F16">
            <v>49500000</v>
          </cell>
        </row>
      </sheetData>
      <sheetData sheetId="8">
        <row r="16">
          <cell r="E16">
            <v>41543027</v>
          </cell>
        </row>
      </sheetData>
      <sheetData sheetId="9">
        <row r="16">
          <cell r="E16">
            <v>29300000</v>
          </cell>
        </row>
      </sheetData>
      <sheetData sheetId="10">
        <row r="16">
          <cell r="E16">
            <v>17804154</v>
          </cell>
        </row>
      </sheetData>
      <sheetData sheetId="11">
        <row r="16">
          <cell r="E16">
            <v>37586548</v>
          </cell>
        </row>
      </sheetData>
      <sheetData sheetId="12">
        <row r="16">
          <cell r="E16">
            <v>29300000</v>
          </cell>
        </row>
      </sheetData>
      <sheetData sheetId="13">
        <row r="16">
          <cell r="E16">
            <v>39564787</v>
          </cell>
        </row>
      </sheetData>
      <sheetData sheetId="14">
        <row r="16">
          <cell r="E16">
            <v>37586548</v>
          </cell>
        </row>
      </sheetData>
      <sheetData sheetId="15">
        <row r="16">
          <cell r="E16">
            <v>36894164</v>
          </cell>
        </row>
      </sheetData>
      <sheetData sheetId="16">
        <row r="16">
          <cell r="E16">
            <v>21266073</v>
          </cell>
        </row>
      </sheetData>
      <sheetData sheetId="17">
        <row r="16">
          <cell r="E16">
            <v>37586548</v>
          </cell>
        </row>
      </sheetData>
      <sheetData sheetId="18">
        <row r="16">
          <cell r="E16">
            <v>17111771</v>
          </cell>
        </row>
      </sheetData>
      <sheetData sheetId="19">
        <row r="16">
          <cell r="E16">
            <v>24000000</v>
          </cell>
        </row>
      </sheetData>
      <sheetData sheetId="20">
        <row r="16">
          <cell r="E16">
            <v>24000000</v>
          </cell>
        </row>
      </sheetData>
      <sheetData sheetId="21">
        <row r="16">
          <cell r="E16">
            <v>37586548</v>
          </cell>
        </row>
      </sheetData>
      <sheetData sheetId="22">
        <row r="16">
          <cell r="E16">
            <v>1500000</v>
          </cell>
        </row>
      </sheetData>
      <sheetData sheetId="23">
        <row r="16">
          <cell r="E16">
            <v>27695351</v>
          </cell>
        </row>
      </sheetData>
      <sheetData sheetId="24">
        <row r="16">
          <cell r="E16">
            <v>24000000</v>
          </cell>
        </row>
      </sheetData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6-001"/>
      <sheetName val="06-002"/>
      <sheetName val="06-003"/>
      <sheetName val="06-004"/>
      <sheetName val="06-005"/>
      <sheetName val="06-006"/>
      <sheetName val="06-007"/>
      <sheetName val="06-008"/>
      <sheetName val="06-009"/>
      <sheetName val="06-010"/>
      <sheetName val="06-011"/>
      <sheetName val="06-012"/>
      <sheetName val="06-014"/>
      <sheetName val="06-015"/>
      <sheetName val="06-016"/>
      <sheetName val="06-017"/>
      <sheetName val="JAMCONT"/>
    </sheetNames>
    <sheetDataSet>
      <sheetData sheetId="0">
        <row r="16">
          <cell r="E16">
            <v>23000000</v>
          </cell>
        </row>
      </sheetData>
      <sheetData sheetId="1">
        <row r="16">
          <cell r="E16">
            <v>24000000</v>
          </cell>
        </row>
      </sheetData>
      <sheetData sheetId="2">
        <row r="16">
          <cell r="E16">
            <v>36894164</v>
          </cell>
        </row>
      </sheetData>
      <sheetData sheetId="3">
        <row r="16">
          <cell r="E16">
            <v>17606330</v>
          </cell>
        </row>
      </sheetData>
      <sheetData sheetId="4">
        <row r="16">
          <cell r="E16">
            <v>37586548</v>
          </cell>
        </row>
      </sheetData>
      <sheetData sheetId="5">
        <row r="16">
          <cell r="E16">
            <v>37586548</v>
          </cell>
        </row>
      </sheetData>
      <sheetData sheetId="6">
        <row r="16">
          <cell r="E16">
            <v>20573689</v>
          </cell>
        </row>
      </sheetData>
      <sheetData sheetId="7">
        <row r="16">
          <cell r="E16">
            <v>20573689</v>
          </cell>
        </row>
      </sheetData>
      <sheetData sheetId="8">
        <row r="16">
          <cell r="E16">
            <v>37586548</v>
          </cell>
        </row>
      </sheetData>
      <sheetData sheetId="9">
        <row r="16">
          <cell r="E16">
            <v>38377844</v>
          </cell>
        </row>
      </sheetData>
      <sheetData sheetId="10">
        <row r="16">
          <cell r="F16">
            <v>33000000</v>
          </cell>
        </row>
      </sheetData>
      <sheetData sheetId="11">
        <row r="16">
          <cell r="E16">
            <v>22600000</v>
          </cell>
        </row>
      </sheetData>
      <sheetData sheetId="12">
        <row r="16">
          <cell r="E16">
            <v>27695351</v>
          </cell>
        </row>
      </sheetData>
      <sheetData sheetId="13">
        <row r="16">
          <cell r="F16">
            <v>33000000</v>
          </cell>
        </row>
      </sheetData>
      <sheetData sheetId="14">
        <row r="16">
          <cell r="E16">
            <v>38377844</v>
          </cell>
        </row>
      </sheetData>
      <sheetData sheetId="15">
        <row r="16">
          <cell r="E16">
            <v>34124634</v>
          </cell>
        </row>
      </sheetData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7-001"/>
      <sheetName val="07-002"/>
      <sheetName val="07-003"/>
      <sheetName val="07-004"/>
      <sheetName val="07-005"/>
      <sheetName val="07-006"/>
      <sheetName val="07-007"/>
      <sheetName val="07-008"/>
      <sheetName val="07-009"/>
      <sheetName val="07-010"/>
    </sheetNames>
    <sheetDataSet>
      <sheetData sheetId="0">
        <row r="16">
          <cell r="E16">
            <v>27695351</v>
          </cell>
        </row>
      </sheetData>
      <sheetData sheetId="1">
        <row r="16">
          <cell r="E16">
            <v>39861523</v>
          </cell>
        </row>
      </sheetData>
      <sheetData sheetId="2">
        <row r="16">
          <cell r="E16">
            <v>24727992</v>
          </cell>
        </row>
      </sheetData>
      <sheetData sheetId="3">
        <row r="16">
          <cell r="E16">
            <v>16500000</v>
          </cell>
        </row>
      </sheetData>
      <sheetData sheetId="4">
        <row r="16">
          <cell r="E16">
            <v>23700000</v>
          </cell>
        </row>
      </sheetData>
      <sheetData sheetId="5">
        <row r="16">
          <cell r="E16">
            <v>24500000</v>
          </cell>
        </row>
      </sheetData>
      <sheetData sheetId="6">
        <row r="16">
          <cell r="E16">
            <v>23500000</v>
          </cell>
        </row>
      </sheetData>
      <sheetData sheetId="7">
        <row r="16">
          <cell r="E16">
            <v>25000000</v>
          </cell>
        </row>
      </sheetData>
      <sheetData sheetId="8">
        <row r="16">
          <cell r="E16">
            <v>31157270</v>
          </cell>
        </row>
      </sheetData>
      <sheetData sheetId="9">
        <row r="16">
          <cell r="E16">
            <v>25700000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3602-02D8-4429-8DF5-231165F674DA}">
  <dimension ref="A1"/>
  <sheetViews>
    <sheetView showGridLines="0" workbookViewId="0">
      <selection activeCell="A2" sqref="A2"/>
    </sheetView>
  </sheetViews>
  <sheetFormatPr defaultRowHeight="14.5" x14ac:dyDescent="0.35"/>
  <cols>
    <col min="1" max="1" width="14.6328125" bestFit="1" customWidth="1"/>
  </cols>
  <sheetData>
    <row r="1" spans="1:1" x14ac:dyDescent="0.35">
      <c r="A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AC07-3B6C-4C9A-8CAF-30198819510A}">
  <dimension ref="B3:J42"/>
  <sheetViews>
    <sheetView tabSelected="1" topLeftCell="A19" zoomScale="89" workbookViewId="0">
      <selection activeCell="D37" sqref="D37"/>
    </sheetView>
  </sheetViews>
  <sheetFormatPr defaultRowHeight="14.5" x14ac:dyDescent="0.35"/>
  <cols>
    <col min="2" max="3" width="13.54296875" customWidth="1"/>
    <col min="4" max="4" width="14.90625" bestFit="1" customWidth="1"/>
    <col min="5" max="5" width="17.90625" customWidth="1"/>
    <col min="6" max="6" width="12.54296875" customWidth="1"/>
    <col min="7" max="7" width="12.1796875" bestFit="1" customWidth="1"/>
    <col min="8" max="8" width="16.54296875" bestFit="1" customWidth="1"/>
    <col min="9" max="9" width="14" bestFit="1" customWidth="1"/>
    <col min="10" max="10" width="12.36328125" bestFit="1" customWidth="1"/>
    <col min="12" max="12" width="11.08984375" customWidth="1"/>
    <col min="13" max="13" width="12.6328125" customWidth="1"/>
    <col min="14" max="14" width="26.453125" customWidth="1"/>
    <col min="15" max="15" width="16.36328125" customWidth="1"/>
    <col min="16" max="16" width="14.08984375" bestFit="1" customWidth="1"/>
    <col min="17" max="17" width="12.453125" bestFit="1" customWidth="1"/>
    <col min="18" max="18" width="11.90625" customWidth="1"/>
    <col min="19" max="19" width="12.08984375" customWidth="1"/>
    <col min="21" max="21" width="11.453125" bestFit="1" customWidth="1"/>
  </cols>
  <sheetData>
    <row r="3" spans="2:10" ht="18.5" x14ac:dyDescent="0.45">
      <c r="B3" s="4" t="s">
        <v>47</v>
      </c>
      <c r="C3" s="4"/>
      <c r="D3" s="4"/>
    </row>
    <row r="4" spans="2:10" ht="18.5" x14ac:dyDescent="0.45">
      <c r="B4" s="4" t="s">
        <v>0</v>
      </c>
      <c r="C4" s="4"/>
      <c r="D4" s="4"/>
    </row>
    <row r="5" spans="2:10" ht="18.5" x14ac:dyDescent="0.45">
      <c r="B5" s="4" t="s">
        <v>1</v>
      </c>
      <c r="C5" s="36" t="s">
        <v>33</v>
      </c>
    </row>
    <row r="8" spans="2:10" s="9" customFormat="1" x14ac:dyDescent="0.35">
      <c r="B8" s="27" t="s">
        <v>22</v>
      </c>
      <c r="C8" s="27" t="s">
        <v>24</v>
      </c>
      <c r="D8" s="27" t="s">
        <v>23</v>
      </c>
      <c r="E8" s="27" t="s">
        <v>17</v>
      </c>
      <c r="F8" s="28" t="s">
        <v>13</v>
      </c>
    </row>
    <row r="9" spans="2:10" s="9" customFormat="1" x14ac:dyDescent="0.35">
      <c r="B9" s="11"/>
      <c r="C9" s="11"/>
      <c r="D9" s="11"/>
      <c r="E9" s="11"/>
      <c r="F9" s="29"/>
    </row>
    <row r="10" spans="2:10" s="9" customFormat="1" x14ac:dyDescent="0.35">
      <c r="B10" s="10"/>
      <c r="C10" s="10"/>
      <c r="D10" s="10"/>
      <c r="E10" s="10"/>
      <c r="F10" s="10"/>
    </row>
    <row r="11" spans="2:10" x14ac:dyDescent="0.35">
      <c r="B11" s="6" t="s">
        <v>34</v>
      </c>
      <c r="C11" s="6" t="s">
        <v>29</v>
      </c>
      <c r="D11" s="16"/>
      <c r="E11" s="16"/>
      <c r="F11" s="16"/>
    </row>
    <row r="12" spans="2:10" x14ac:dyDescent="0.35">
      <c r="B12" s="6"/>
      <c r="C12" s="6" t="s">
        <v>30</v>
      </c>
      <c r="D12" s="16">
        <f>EXIM!O13</f>
        <v>20000000</v>
      </c>
      <c r="E12" s="16">
        <f>EXIM!P13</f>
        <v>10000000</v>
      </c>
      <c r="F12" s="72">
        <f>EXIM!Q13</f>
        <v>10000000</v>
      </c>
    </row>
    <row r="13" spans="2:10" x14ac:dyDescent="0.35">
      <c r="B13" s="6"/>
      <c r="C13" s="6" t="s">
        <v>25</v>
      </c>
      <c r="D13" s="16">
        <f>DOM!O24</f>
        <v>280500000</v>
      </c>
      <c r="E13" s="16">
        <f>DOM!P24</f>
        <v>242750000</v>
      </c>
      <c r="F13" s="16">
        <f>D13-E13</f>
        <v>37750000</v>
      </c>
      <c r="G13" s="102" t="s">
        <v>69</v>
      </c>
      <c r="H13" s="12">
        <f>SUM(D11:D13)</f>
        <v>300500000</v>
      </c>
      <c r="I13" s="12">
        <f>SUM(E11:E13)</f>
        <v>252750000</v>
      </c>
      <c r="J13" s="12">
        <f>SUM(F12:F13)</f>
        <v>47750000</v>
      </c>
    </row>
    <row r="14" spans="2:10" x14ac:dyDescent="0.35">
      <c r="B14" s="6"/>
      <c r="C14" s="6"/>
      <c r="D14" s="6"/>
      <c r="E14" s="6"/>
      <c r="F14" s="6"/>
    </row>
    <row r="15" spans="2:10" x14ac:dyDescent="0.35">
      <c r="B15" s="6" t="s">
        <v>21</v>
      </c>
      <c r="C15" s="6" t="s">
        <v>29</v>
      </c>
      <c r="D15" s="16">
        <f>EXIM!O34</f>
        <v>135000000</v>
      </c>
      <c r="E15" s="16">
        <f>EXIM!P34</f>
        <v>105000000</v>
      </c>
      <c r="F15" s="16">
        <f>D15-E15</f>
        <v>30000000</v>
      </c>
    </row>
    <row r="16" spans="2:10" x14ac:dyDescent="0.35">
      <c r="B16" s="6"/>
      <c r="C16" s="6" t="s">
        <v>30</v>
      </c>
      <c r="D16" s="16">
        <f>EXIM!O27</f>
        <v>89405167</v>
      </c>
      <c r="E16" s="16">
        <f>EXIM!P27</f>
        <v>71905167</v>
      </c>
      <c r="F16" s="16">
        <f>EXIM!Q27</f>
        <v>17500000</v>
      </c>
    </row>
    <row r="17" spans="2:10" x14ac:dyDescent="0.35">
      <c r="B17" s="6"/>
      <c r="C17" s="6" t="s">
        <v>25</v>
      </c>
      <c r="D17" s="16">
        <f>DOM!O51</f>
        <v>629700000</v>
      </c>
      <c r="E17" s="16">
        <f>DOM!P51</f>
        <v>557900000</v>
      </c>
      <c r="F17" s="16">
        <f>D17-E17</f>
        <v>71800000</v>
      </c>
      <c r="G17" s="102" t="s">
        <v>255</v>
      </c>
      <c r="H17" s="12">
        <f>SUM(D15:D17)</f>
        <v>854105167</v>
      </c>
      <c r="I17" s="12">
        <f>SUM(E15:E17)</f>
        <v>734805167</v>
      </c>
      <c r="J17" s="12">
        <f>SUM(F15:F17)</f>
        <v>119300000</v>
      </c>
    </row>
    <row r="18" spans="2:10" x14ac:dyDescent="0.35">
      <c r="B18" s="6"/>
      <c r="C18" s="6"/>
      <c r="D18" s="6"/>
      <c r="E18" s="6"/>
      <c r="F18" s="6"/>
    </row>
    <row r="19" spans="2:10" x14ac:dyDescent="0.35">
      <c r="B19" s="6" t="s">
        <v>20</v>
      </c>
      <c r="C19" s="6" t="s">
        <v>29</v>
      </c>
      <c r="D19" s="16">
        <f>EXIM!O50</f>
        <v>134662526</v>
      </c>
      <c r="E19" s="16">
        <f>EXIM!P50</f>
        <v>111162526</v>
      </c>
      <c r="F19" s="16">
        <f>EXIM!Q39</f>
        <v>1000000</v>
      </c>
    </row>
    <row r="20" spans="2:10" x14ac:dyDescent="0.35">
      <c r="B20" s="6"/>
      <c r="C20" s="6" t="s">
        <v>30</v>
      </c>
      <c r="D20" s="16"/>
      <c r="E20" s="16"/>
      <c r="F20" s="16"/>
    </row>
    <row r="21" spans="2:10" x14ac:dyDescent="0.35">
      <c r="B21" s="6"/>
      <c r="C21" s="6" t="s">
        <v>25</v>
      </c>
      <c r="D21" s="16">
        <f>DOM!O74</f>
        <v>481060000</v>
      </c>
      <c r="E21" s="16">
        <f>DOM!P74</f>
        <v>424360000</v>
      </c>
      <c r="F21" s="16">
        <f>DOM!Q74</f>
        <v>56700000</v>
      </c>
      <c r="G21" s="102" t="s">
        <v>256</v>
      </c>
      <c r="H21" s="12">
        <f>SUM(D19:D21)</f>
        <v>615722526</v>
      </c>
      <c r="I21" s="12">
        <f>SUM(E19:E21)</f>
        <v>535522526</v>
      </c>
      <c r="J21" s="12">
        <f>SUM(F19:F21)</f>
        <v>57700000</v>
      </c>
    </row>
    <row r="22" spans="2:10" x14ac:dyDescent="0.35">
      <c r="B22" s="6"/>
      <c r="C22" s="6"/>
      <c r="D22" s="6"/>
      <c r="E22" s="6"/>
      <c r="F22" s="6"/>
    </row>
    <row r="23" spans="2:10" x14ac:dyDescent="0.35">
      <c r="B23" s="6" t="s">
        <v>26</v>
      </c>
      <c r="C23" s="6" t="s">
        <v>29</v>
      </c>
      <c r="D23" s="16">
        <f>EXIM!O59</f>
        <v>32000000</v>
      </c>
      <c r="E23" s="16">
        <f>EXIM!P59</f>
        <v>28000000</v>
      </c>
      <c r="F23" s="16">
        <f>EXIM!Q59</f>
        <v>4000000</v>
      </c>
    </row>
    <row r="24" spans="2:10" x14ac:dyDescent="0.35">
      <c r="B24" s="6"/>
      <c r="C24" s="6" t="s">
        <v>30</v>
      </c>
      <c r="D24" s="16"/>
      <c r="E24" s="16"/>
      <c r="F24" s="16"/>
    </row>
    <row r="25" spans="2:10" x14ac:dyDescent="0.35">
      <c r="B25" s="6"/>
      <c r="C25" s="6" t="s">
        <v>25</v>
      </c>
      <c r="D25" s="16">
        <f>DOM!O91</f>
        <v>261100000</v>
      </c>
      <c r="E25" s="16">
        <f>DOM!P91</f>
        <v>232200000</v>
      </c>
      <c r="F25" s="16">
        <f>D25-E25</f>
        <v>28900000</v>
      </c>
      <c r="G25" s="102" t="s">
        <v>257</v>
      </c>
      <c r="H25" s="12">
        <f>SUM(D23:D25)</f>
        <v>293100000</v>
      </c>
      <c r="I25" s="12">
        <f>SUM(E23:E25)</f>
        <v>260200000</v>
      </c>
      <c r="J25" s="12">
        <f>SUM(F23:F25)</f>
        <v>32900000</v>
      </c>
    </row>
    <row r="26" spans="2:10" x14ac:dyDescent="0.35">
      <c r="B26" s="6"/>
      <c r="C26" s="6"/>
      <c r="D26" s="16"/>
      <c r="E26" s="16"/>
      <c r="F26" s="16"/>
      <c r="G26" s="17"/>
    </row>
    <row r="27" spans="2:10" x14ac:dyDescent="0.35">
      <c r="B27" s="6" t="s">
        <v>35</v>
      </c>
      <c r="C27" s="6" t="s">
        <v>29</v>
      </c>
      <c r="D27" s="16"/>
      <c r="E27" s="16"/>
      <c r="F27" s="16"/>
      <c r="G27" s="17"/>
    </row>
    <row r="28" spans="2:10" x14ac:dyDescent="0.35">
      <c r="B28" s="6"/>
      <c r="C28" s="6" t="s">
        <v>30</v>
      </c>
      <c r="D28" s="16"/>
      <c r="E28" s="16"/>
      <c r="F28" s="16"/>
      <c r="G28" s="17"/>
    </row>
    <row r="29" spans="2:10" x14ac:dyDescent="0.35">
      <c r="B29" s="6"/>
      <c r="C29" s="6" t="s">
        <v>25</v>
      </c>
      <c r="D29" s="16"/>
      <c r="E29" s="16"/>
      <c r="F29" s="16"/>
      <c r="G29" s="17"/>
    </row>
    <row r="30" spans="2:10" x14ac:dyDescent="0.35">
      <c r="B30" s="6"/>
      <c r="C30" s="6"/>
      <c r="D30" s="16"/>
      <c r="E30" s="16"/>
      <c r="F30" s="16"/>
      <c r="G30" s="17"/>
    </row>
    <row r="31" spans="2:10" x14ac:dyDescent="0.35">
      <c r="B31" s="6" t="s">
        <v>31</v>
      </c>
      <c r="C31" s="6" t="s">
        <v>29</v>
      </c>
      <c r="D31" s="16"/>
      <c r="E31" s="16"/>
      <c r="F31" s="16"/>
      <c r="G31" s="17"/>
    </row>
    <row r="32" spans="2:10" x14ac:dyDescent="0.35">
      <c r="B32" s="6"/>
      <c r="C32" s="6" t="s">
        <v>30</v>
      </c>
      <c r="D32" s="16"/>
      <c r="E32" s="16"/>
      <c r="F32" s="16"/>
      <c r="G32" s="17"/>
    </row>
    <row r="33" spans="2:10" x14ac:dyDescent="0.35">
      <c r="B33" s="6"/>
      <c r="C33" s="6" t="s">
        <v>25</v>
      </c>
      <c r="D33" s="16"/>
      <c r="E33" s="16"/>
      <c r="F33" s="16"/>
      <c r="G33" s="17"/>
    </row>
    <row r="34" spans="2:10" x14ac:dyDescent="0.35">
      <c r="B34" s="6"/>
      <c r="C34" s="6"/>
      <c r="D34" s="16"/>
      <c r="E34" s="16"/>
      <c r="F34" s="16"/>
      <c r="G34" s="17"/>
    </row>
    <row r="35" spans="2:10" x14ac:dyDescent="0.35">
      <c r="B35" s="6"/>
      <c r="C35" s="6"/>
      <c r="D35" s="16"/>
      <c r="E35" s="16"/>
      <c r="F35" s="16"/>
      <c r="G35" s="17"/>
    </row>
    <row r="36" spans="2:10" x14ac:dyDescent="0.35">
      <c r="B36" s="6"/>
      <c r="C36" s="6"/>
      <c r="D36" s="6"/>
      <c r="E36" s="6"/>
      <c r="F36" s="6"/>
    </row>
    <row r="37" spans="2:10" ht="29.4" customHeight="1" x14ac:dyDescent="0.35">
      <c r="B37" s="30"/>
      <c r="C37" s="31" t="s">
        <v>32</v>
      </c>
      <c r="D37" s="32">
        <f>SUM(D11:D36)</f>
        <v>2063427693</v>
      </c>
      <c r="E37" s="32">
        <f>SUM(E11:E36)</f>
        <v>1783277693</v>
      </c>
      <c r="F37" s="32">
        <f>SUM(F11:F35)</f>
        <v>257650000</v>
      </c>
      <c r="H37" s="103">
        <f>SUM(H11:H34)</f>
        <v>2063427693</v>
      </c>
      <c r="I37" s="103">
        <f>SUM(I10:I36)</f>
        <v>1783277693</v>
      </c>
      <c r="J37" s="103">
        <f>SUM(J11:J35)</f>
        <v>257650000</v>
      </c>
    </row>
    <row r="38" spans="2:10" x14ac:dyDescent="0.35">
      <c r="B38" s="6"/>
      <c r="C38" s="7"/>
      <c r="D38" s="22"/>
      <c r="E38" s="22"/>
      <c r="F38" s="22"/>
    </row>
    <row r="39" spans="2:10" x14ac:dyDescent="0.35">
      <c r="B39" s="6"/>
      <c r="C39" s="7"/>
      <c r="D39" s="33"/>
      <c r="E39" s="33"/>
      <c r="F39" s="33"/>
    </row>
    <row r="42" spans="2:10" x14ac:dyDescent="0.35">
      <c r="E42" s="12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3B3A-E61A-4B12-8D4A-C03B1F3EC19A}">
  <dimension ref="B3:Y67"/>
  <sheetViews>
    <sheetView topLeftCell="A4" zoomScale="58" workbookViewId="0">
      <selection activeCell="D50" sqref="D50"/>
    </sheetView>
  </sheetViews>
  <sheetFormatPr defaultRowHeight="14.5" x14ac:dyDescent="0.35"/>
  <cols>
    <col min="2" max="2" width="13.54296875" customWidth="1"/>
    <col min="3" max="3" width="17.26953125" bestFit="1" customWidth="1"/>
    <col min="4" max="4" width="18.453125" bestFit="1" customWidth="1"/>
    <col min="5" max="5" width="11.1796875" customWidth="1"/>
    <col min="6" max="6" width="14" customWidth="1"/>
    <col min="7" max="7" width="12.36328125" customWidth="1"/>
    <col min="8" max="8" width="21.453125" customWidth="1"/>
    <col min="9" max="9" width="10.6328125" customWidth="1"/>
    <col min="10" max="10" width="9.36328125" customWidth="1"/>
    <col min="11" max="11" width="16.6328125" customWidth="1"/>
    <col min="12" max="12" width="14.54296875" bestFit="1" customWidth="1"/>
    <col min="13" max="13" width="21.08984375" bestFit="1" customWidth="1"/>
    <col min="14" max="14" width="14.6328125" bestFit="1" customWidth="1"/>
    <col min="15" max="15" width="16.08984375" bestFit="1" customWidth="1"/>
    <col min="16" max="16" width="15.90625" customWidth="1"/>
    <col min="17" max="17" width="14" customWidth="1"/>
    <col min="18" max="18" width="6.81640625" bestFit="1" customWidth="1"/>
    <col min="19" max="19" width="18.08984375" customWidth="1"/>
    <col min="20" max="20" width="22.1796875" customWidth="1"/>
    <col min="21" max="21" width="7.90625" customWidth="1"/>
    <col min="22" max="22" width="12.90625" customWidth="1"/>
    <col min="23" max="23" width="18.6328125" customWidth="1"/>
    <col min="24" max="24" width="19.90625" customWidth="1"/>
    <col min="25" max="25" width="14.81640625" customWidth="1"/>
    <col min="26" max="26" width="12.453125" customWidth="1"/>
    <col min="27" max="27" width="26.08984375" customWidth="1"/>
    <col min="28" max="28" width="8.90625" customWidth="1"/>
  </cols>
  <sheetData>
    <row r="3" spans="2:25" s="9" customFormat="1" x14ac:dyDescent="0.35">
      <c r="B3" s="20"/>
      <c r="D3" s="20"/>
      <c r="F3" s="21"/>
      <c r="H3" s="21"/>
      <c r="I3" s="21"/>
      <c r="J3" s="21"/>
      <c r="K3" s="20"/>
      <c r="O3" s="18"/>
      <c r="P3" s="18"/>
      <c r="Q3" s="18"/>
      <c r="R3" s="18"/>
      <c r="S3" s="18"/>
      <c r="T3" s="19"/>
    </row>
    <row r="4" spans="2:25" s="9" customFormat="1" ht="18.5" x14ac:dyDescent="0.45">
      <c r="B4" s="4" t="s">
        <v>47</v>
      </c>
      <c r="C4" s="4"/>
      <c r="D4" s="20"/>
      <c r="F4" s="21"/>
      <c r="H4" s="21"/>
      <c r="I4" s="21"/>
      <c r="J4" s="21"/>
      <c r="K4" s="20"/>
      <c r="O4" s="18"/>
      <c r="P4" s="18"/>
      <c r="Q4" s="18"/>
      <c r="R4" s="18"/>
      <c r="S4" s="18"/>
      <c r="T4" s="19"/>
    </row>
    <row r="5" spans="2:25" s="9" customFormat="1" ht="18.5" x14ac:dyDescent="0.45">
      <c r="B5" s="4" t="s">
        <v>0</v>
      </c>
      <c r="C5" s="4"/>
      <c r="D5" s="20"/>
      <c r="F5" s="21"/>
      <c r="H5" s="21"/>
      <c r="I5" s="21"/>
      <c r="J5" s="21"/>
      <c r="K5" s="20"/>
      <c r="O5" s="18"/>
      <c r="P5" s="18"/>
      <c r="Q5" s="18"/>
      <c r="R5" s="18"/>
      <c r="S5" s="18"/>
      <c r="T5" s="19"/>
    </row>
    <row r="6" spans="2:25" s="9" customFormat="1" ht="18.5" x14ac:dyDescent="0.45">
      <c r="B6" s="4" t="s">
        <v>1</v>
      </c>
      <c r="C6" s="36" t="s">
        <v>33</v>
      </c>
      <c r="D6" s="20"/>
      <c r="F6" s="21"/>
      <c r="H6" s="21"/>
      <c r="I6" s="21"/>
      <c r="J6" s="21"/>
      <c r="K6" s="20"/>
      <c r="O6" s="18"/>
      <c r="P6" s="18"/>
      <c r="Q6" s="18"/>
      <c r="R6" s="18"/>
      <c r="S6" s="18"/>
      <c r="T6" s="19"/>
    </row>
    <row r="7" spans="2:25" s="9" customFormat="1" x14ac:dyDescent="0.35">
      <c r="B7" s="20"/>
      <c r="D7" s="20"/>
      <c r="F7" s="21"/>
      <c r="H7" s="21"/>
      <c r="I7" s="21"/>
      <c r="J7" s="21"/>
      <c r="K7" s="20"/>
      <c r="O7" s="18"/>
      <c r="P7" s="18"/>
      <c r="Q7" s="18"/>
      <c r="R7" s="18"/>
      <c r="S7" s="18"/>
      <c r="T7" s="19"/>
    </row>
    <row r="8" spans="2:25" s="9" customFormat="1" ht="18.5" x14ac:dyDescent="0.45">
      <c r="B8" s="5" t="s">
        <v>36</v>
      </c>
      <c r="C8" s="37"/>
      <c r="D8"/>
      <c r="E8"/>
      <c r="F8"/>
      <c r="G8"/>
      <c r="H8"/>
      <c r="I8"/>
      <c r="J8"/>
      <c r="K8"/>
      <c r="L8"/>
      <c r="M8"/>
      <c r="N8"/>
      <c r="O8"/>
      <c r="P8"/>
      <c r="Q8"/>
      <c r="R8" s="18"/>
      <c r="S8" s="18"/>
      <c r="T8" s="19"/>
    </row>
    <row r="9" spans="2:25" s="9" customFormat="1" x14ac:dyDescent="0.35">
      <c r="B9" s="1" t="s">
        <v>2</v>
      </c>
      <c r="C9" s="1" t="s">
        <v>3</v>
      </c>
      <c r="D9" s="1" t="s">
        <v>4</v>
      </c>
      <c r="E9" s="1" t="s">
        <v>5</v>
      </c>
      <c r="F9" s="106" t="s">
        <v>6</v>
      </c>
      <c r="G9" s="107"/>
      <c r="H9" s="1" t="s">
        <v>7</v>
      </c>
      <c r="I9" s="1" t="s">
        <v>8</v>
      </c>
      <c r="J9" s="1" t="s">
        <v>9</v>
      </c>
      <c r="K9" s="108" t="s">
        <v>15</v>
      </c>
      <c r="L9" s="1" t="s">
        <v>10</v>
      </c>
      <c r="M9" s="1" t="s">
        <v>11</v>
      </c>
      <c r="N9" s="1" t="s">
        <v>12</v>
      </c>
      <c r="O9" s="1" t="s">
        <v>16</v>
      </c>
      <c r="P9" s="1" t="s">
        <v>17</v>
      </c>
      <c r="Q9" s="25" t="s">
        <v>13</v>
      </c>
      <c r="R9" s="18"/>
    </row>
    <row r="10" spans="2:25" s="9" customFormat="1" ht="29" x14ac:dyDescent="0.35">
      <c r="B10" s="3"/>
      <c r="C10" s="3"/>
      <c r="D10" s="3"/>
      <c r="E10" s="3"/>
      <c r="F10" s="2" t="s">
        <v>14</v>
      </c>
      <c r="G10" s="2" t="s">
        <v>19</v>
      </c>
      <c r="H10" s="3"/>
      <c r="I10" s="3"/>
      <c r="J10" s="3"/>
      <c r="K10" s="109"/>
      <c r="L10" s="3"/>
      <c r="M10" s="3"/>
      <c r="N10" s="3"/>
      <c r="O10" s="3"/>
      <c r="P10" s="3"/>
      <c r="Q10" s="26"/>
      <c r="R10" s="18"/>
      <c r="S10" s="40" t="s">
        <v>37</v>
      </c>
      <c r="T10" s="40" t="s">
        <v>38</v>
      </c>
      <c r="U10" s="41" t="s">
        <v>39</v>
      </c>
      <c r="V10" s="42" t="s">
        <v>40</v>
      </c>
      <c r="W10" s="43" t="s">
        <v>41</v>
      </c>
      <c r="X10" s="44" t="s">
        <v>42</v>
      </c>
      <c r="Y10" s="44" t="s">
        <v>43</v>
      </c>
    </row>
    <row r="11" spans="2:25" s="9" customFormat="1" x14ac:dyDescent="0.35">
      <c r="B11" s="68" t="s">
        <v>46</v>
      </c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5"/>
      <c r="Q11" s="29"/>
      <c r="R11" s="18"/>
      <c r="S11" s="50"/>
      <c r="T11" s="51"/>
      <c r="U11" s="52"/>
      <c r="V11" s="52"/>
      <c r="W11" s="52"/>
      <c r="X11" s="52"/>
      <c r="Y11" s="52"/>
    </row>
    <row r="12" spans="2:25" s="171" customFormat="1" x14ac:dyDescent="0.35">
      <c r="B12" s="161" t="s">
        <v>30</v>
      </c>
      <c r="C12" s="162"/>
      <c r="D12" s="119" t="s">
        <v>113</v>
      </c>
      <c r="E12" s="119"/>
      <c r="F12" s="119" t="s">
        <v>118</v>
      </c>
      <c r="G12" s="119"/>
      <c r="H12" s="119" t="s">
        <v>91</v>
      </c>
      <c r="I12" s="119"/>
      <c r="J12" s="119"/>
      <c r="K12" s="163"/>
      <c r="L12" s="161"/>
      <c r="M12" s="161"/>
      <c r="N12" s="164"/>
      <c r="O12" s="165">
        <v>20000000</v>
      </c>
      <c r="P12" s="166">
        <v>10000000</v>
      </c>
      <c r="Q12" s="167">
        <f>O12-P12</f>
        <v>10000000</v>
      </c>
      <c r="R12" s="168" t="s">
        <v>140</v>
      </c>
      <c r="S12" s="169"/>
      <c r="T12" s="170"/>
      <c r="U12" s="163"/>
      <c r="V12" s="170"/>
      <c r="W12" s="170"/>
      <c r="X12" s="170"/>
      <c r="Y12" s="170"/>
    </row>
    <row r="13" spans="2:25" s="9" customFormat="1" x14ac:dyDescent="0.35">
      <c r="B13" s="14"/>
      <c r="C13" s="65"/>
      <c r="D13" s="13"/>
      <c r="E13" s="15"/>
      <c r="F13" s="15"/>
      <c r="G13" s="15"/>
      <c r="H13" s="15"/>
      <c r="I13" s="15"/>
      <c r="J13" s="15"/>
      <c r="K13" s="10"/>
      <c r="L13" s="14"/>
      <c r="M13" s="14"/>
      <c r="N13" s="80" t="s">
        <v>141</v>
      </c>
      <c r="O13" s="98">
        <f>O12</f>
        <v>20000000</v>
      </c>
      <c r="P13" s="99">
        <f>P12</f>
        <v>10000000</v>
      </c>
      <c r="Q13" s="100">
        <f>Q12</f>
        <v>10000000</v>
      </c>
      <c r="R13" s="18"/>
      <c r="S13" s="50"/>
      <c r="T13" s="64"/>
      <c r="U13" s="10"/>
      <c r="V13" s="52"/>
      <c r="W13" s="52"/>
      <c r="X13" s="52"/>
      <c r="Y13" s="52"/>
    </row>
    <row r="14" spans="2:25" s="9" customFormat="1" x14ac:dyDescent="0.35">
      <c r="B14" s="14"/>
      <c r="C14" s="65"/>
      <c r="D14" s="13"/>
      <c r="E14" s="15"/>
      <c r="F14" s="15"/>
      <c r="G14" s="15"/>
      <c r="H14" s="15"/>
      <c r="I14" s="15"/>
      <c r="J14" s="15"/>
      <c r="K14" s="10"/>
      <c r="L14" s="14"/>
      <c r="M14" s="14"/>
      <c r="N14" s="61"/>
      <c r="O14" s="62"/>
      <c r="P14" s="60"/>
      <c r="Q14" s="71"/>
      <c r="R14" s="18"/>
      <c r="S14" s="50"/>
      <c r="T14" s="64"/>
      <c r="U14" s="10"/>
      <c r="V14" s="52"/>
      <c r="W14" s="52"/>
      <c r="X14" s="52"/>
      <c r="Y14" s="52"/>
    </row>
    <row r="15" spans="2:25" s="9" customFormat="1" x14ac:dyDescent="0.35">
      <c r="B15" s="14"/>
      <c r="C15" s="65"/>
      <c r="D15" s="13"/>
      <c r="E15" s="15"/>
      <c r="F15" s="15"/>
      <c r="G15" s="15"/>
      <c r="H15" s="15"/>
      <c r="I15" s="15"/>
      <c r="J15" s="15"/>
      <c r="K15" s="10"/>
      <c r="L15" s="14"/>
      <c r="M15" s="14"/>
      <c r="N15" s="61"/>
      <c r="O15" s="62"/>
      <c r="P15" s="60"/>
      <c r="Q15" s="71"/>
      <c r="R15" s="18"/>
      <c r="S15" s="50"/>
      <c r="T15" s="64"/>
      <c r="U15" s="10"/>
      <c r="V15" s="52"/>
      <c r="W15" s="52"/>
      <c r="X15" s="52"/>
      <c r="Y15" s="52"/>
    </row>
    <row r="16" spans="2:25" s="9" customFormat="1" x14ac:dyDescent="0.35">
      <c r="B16" s="68" t="s">
        <v>93</v>
      </c>
      <c r="C16" s="65"/>
      <c r="D16" s="13"/>
      <c r="E16" s="15"/>
      <c r="F16" s="15"/>
      <c r="G16" s="15"/>
      <c r="H16" s="15"/>
      <c r="I16" s="15"/>
      <c r="J16" s="15"/>
      <c r="K16" s="10"/>
      <c r="L16" s="14"/>
      <c r="M16" s="14"/>
      <c r="N16" s="61"/>
      <c r="O16" s="62"/>
      <c r="P16" s="60"/>
      <c r="Q16" s="71"/>
      <c r="R16" s="18"/>
      <c r="S16" s="50"/>
      <c r="T16" s="64"/>
      <c r="U16" s="10"/>
      <c r="V16" s="52"/>
      <c r="W16" s="52"/>
      <c r="X16" s="52"/>
      <c r="Y16" s="52"/>
    </row>
    <row r="17" spans="2:25" s="171" customFormat="1" x14ac:dyDescent="0.35">
      <c r="B17" s="161" t="s">
        <v>30</v>
      </c>
      <c r="C17" s="119"/>
      <c r="D17" s="119" t="s">
        <v>119</v>
      </c>
      <c r="E17" s="119"/>
      <c r="F17" s="119" t="s">
        <v>118</v>
      </c>
      <c r="G17" s="119"/>
      <c r="H17" s="119" t="s">
        <v>120</v>
      </c>
      <c r="I17" s="119" t="s">
        <v>121</v>
      </c>
      <c r="J17" s="119" t="s">
        <v>59</v>
      </c>
      <c r="K17" s="163" t="s">
        <v>118</v>
      </c>
      <c r="L17" s="161"/>
      <c r="M17" s="161"/>
      <c r="N17" s="164">
        <v>46136</v>
      </c>
      <c r="O17" s="175">
        <v>15200000</v>
      </c>
      <c r="P17" s="176">
        <v>7600000</v>
      </c>
      <c r="Q17" s="173">
        <f>O17-P17</f>
        <v>7600000</v>
      </c>
      <c r="R17" s="168" t="s">
        <v>140</v>
      </c>
      <c r="S17" s="174">
        <v>46161</v>
      </c>
      <c r="T17" s="177">
        <v>46162</v>
      </c>
      <c r="U17" s="163">
        <v>14</v>
      </c>
      <c r="V17" s="170">
        <f>T17+U17</f>
        <v>46176</v>
      </c>
      <c r="W17" s="170">
        <v>46203</v>
      </c>
      <c r="X17" s="170"/>
      <c r="Y17" s="170"/>
    </row>
    <row r="18" spans="2:25" s="171" customFormat="1" x14ac:dyDescent="0.35">
      <c r="B18" s="161"/>
      <c r="C18" s="119"/>
      <c r="D18" s="119"/>
      <c r="E18" s="119"/>
      <c r="F18" s="119"/>
      <c r="G18" s="119"/>
      <c r="H18" s="119"/>
      <c r="I18" s="119"/>
      <c r="J18" s="119"/>
      <c r="K18" s="163"/>
      <c r="L18" s="161"/>
      <c r="M18" s="161"/>
      <c r="N18" s="164" t="s">
        <v>275</v>
      </c>
      <c r="O18" s="175">
        <v>646575</v>
      </c>
      <c r="P18" s="176">
        <v>646575</v>
      </c>
      <c r="Q18" s="173">
        <f>O18-P18</f>
        <v>0</v>
      </c>
      <c r="R18" s="168"/>
      <c r="S18" s="174"/>
      <c r="T18" s="177"/>
      <c r="U18" s="163"/>
      <c r="V18" s="170"/>
      <c r="W18" s="170"/>
      <c r="X18" s="170"/>
      <c r="Y18" s="170"/>
    </row>
    <row r="19" spans="2:25" s="171" customFormat="1" x14ac:dyDescent="0.35">
      <c r="B19" s="161"/>
      <c r="C19" s="119"/>
      <c r="D19" s="119"/>
      <c r="E19" s="119"/>
      <c r="F19" s="119"/>
      <c r="G19" s="119"/>
      <c r="H19" s="119"/>
      <c r="I19" s="119"/>
      <c r="J19" s="119"/>
      <c r="K19" s="163"/>
      <c r="L19" s="161"/>
      <c r="M19" s="161"/>
      <c r="N19" s="164"/>
      <c r="O19" s="175"/>
      <c r="P19" s="176"/>
      <c r="Q19" s="173"/>
      <c r="R19" s="168"/>
      <c r="S19" s="174"/>
      <c r="T19" s="177"/>
      <c r="U19" s="163"/>
      <c r="V19" s="170"/>
      <c r="W19" s="170"/>
      <c r="X19" s="170"/>
      <c r="Y19" s="170"/>
    </row>
    <row r="20" spans="2:25" s="171" customFormat="1" x14ac:dyDescent="0.35">
      <c r="B20" s="161"/>
      <c r="C20" s="119"/>
      <c r="D20" s="119" t="s">
        <v>122</v>
      </c>
      <c r="E20" s="119"/>
      <c r="F20" s="119" t="s">
        <v>127</v>
      </c>
      <c r="G20" s="119"/>
      <c r="H20" s="119" t="s">
        <v>120</v>
      </c>
      <c r="I20" s="119" t="s">
        <v>121</v>
      </c>
      <c r="J20" s="119" t="s">
        <v>59</v>
      </c>
      <c r="K20" s="163" t="s">
        <v>123</v>
      </c>
      <c r="L20" s="161"/>
      <c r="M20" s="161" t="s">
        <v>128</v>
      </c>
      <c r="N20" s="164">
        <v>46136</v>
      </c>
      <c r="O20" s="175">
        <v>11900000</v>
      </c>
      <c r="P20" s="176">
        <v>8500000</v>
      </c>
      <c r="Q20" s="173">
        <f>O20-P20</f>
        <v>3400000</v>
      </c>
      <c r="R20" s="168" t="s">
        <v>140</v>
      </c>
      <c r="S20" s="174">
        <v>46161</v>
      </c>
      <c r="T20" s="177">
        <v>46162</v>
      </c>
      <c r="U20" s="163">
        <v>14</v>
      </c>
      <c r="V20" s="170">
        <f>T20+U20</f>
        <v>46176</v>
      </c>
      <c r="W20" s="170">
        <v>46203</v>
      </c>
      <c r="X20" s="170"/>
      <c r="Y20" s="170"/>
    </row>
    <row r="21" spans="2:25" s="171" customFormat="1" x14ac:dyDescent="0.35">
      <c r="B21" s="161"/>
      <c r="C21" s="119"/>
      <c r="D21" s="119"/>
      <c r="E21" s="119"/>
      <c r="F21" s="119"/>
      <c r="G21" s="119"/>
      <c r="H21" s="119"/>
      <c r="I21" s="119"/>
      <c r="J21" s="119"/>
      <c r="K21" s="163"/>
      <c r="L21" s="161"/>
      <c r="M21" s="161"/>
      <c r="N21" s="164" t="s">
        <v>275</v>
      </c>
      <c r="O21" s="175">
        <v>1701630</v>
      </c>
      <c r="P21" s="176">
        <v>1701630</v>
      </c>
      <c r="Q21" s="173"/>
      <c r="R21" s="168"/>
      <c r="S21" s="174"/>
      <c r="T21" s="177"/>
      <c r="U21" s="163"/>
      <c r="V21" s="170"/>
      <c r="W21" s="170"/>
      <c r="X21" s="170"/>
      <c r="Y21" s="170"/>
    </row>
    <row r="22" spans="2:25" s="171" customFormat="1" x14ac:dyDescent="0.35">
      <c r="B22" s="161"/>
      <c r="C22" s="119"/>
      <c r="D22" s="119"/>
      <c r="E22" s="119"/>
      <c r="F22" s="119"/>
      <c r="G22" s="119"/>
      <c r="H22" s="119"/>
      <c r="I22" s="119"/>
      <c r="J22" s="119"/>
      <c r="K22" s="163"/>
      <c r="L22" s="161"/>
      <c r="M22" s="161"/>
      <c r="N22" s="164" t="s">
        <v>275</v>
      </c>
      <c r="O22" s="175">
        <v>821400</v>
      </c>
      <c r="P22" s="176">
        <v>821400</v>
      </c>
      <c r="Q22" s="173"/>
      <c r="R22" s="168"/>
      <c r="S22" s="169"/>
      <c r="T22" s="177"/>
      <c r="U22" s="163"/>
      <c r="V22" s="170"/>
      <c r="W22" s="170"/>
      <c r="X22" s="170"/>
      <c r="Y22" s="170"/>
    </row>
    <row r="23" spans="2:25" s="171" customFormat="1" x14ac:dyDescent="0.35">
      <c r="B23" s="161"/>
      <c r="C23" s="119"/>
      <c r="D23" s="119"/>
      <c r="E23" s="119"/>
      <c r="F23" s="119"/>
      <c r="G23" s="119"/>
      <c r="H23" s="119"/>
      <c r="I23" s="119"/>
      <c r="J23" s="119"/>
      <c r="K23" s="163"/>
      <c r="L23" s="161"/>
      <c r="M23" s="161"/>
      <c r="N23" s="164"/>
      <c r="O23" s="175"/>
      <c r="P23" s="176"/>
      <c r="Q23" s="173"/>
      <c r="R23" s="168"/>
      <c r="S23" s="169"/>
      <c r="T23" s="177"/>
      <c r="U23" s="163"/>
      <c r="V23" s="170"/>
      <c r="W23" s="170"/>
      <c r="X23" s="170"/>
      <c r="Y23" s="170"/>
    </row>
    <row r="24" spans="2:25" s="171" customFormat="1" x14ac:dyDescent="0.35">
      <c r="B24" s="161"/>
      <c r="C24" s="161"/>
      <c r="D24" s="119" t="s">
        <v>125</v>
      </c>
      <c r="E24" s="119"/>
      <c r="F24" s="119" t="s">
        <v>127</v>
      </c>
      <c r="G24" s="119"/>
      <c r="H24" s="119" t="s">
        <v>120</v>
      </c>
      <c r="I24" s="119" t="s">
        <v>126</v>
      </c>
      <c r="J24" s="119" t="s">
        <v>59</v>
      </c>
      <c r="K24" s="163" t="s">
        <v>127</v>
      </c>
      <c r="L24" s="178"/>
      <c r="M24" s="178"/>
      <c r="N24" s="164">
        <v>46146</v>
      </c>
      <c r="O24" s="175">
        <v>37300000</v>
      </c>
      <c r="P24" s="176">
        <v>30800000</v>
      </c>
      <c r="Q24" s="173">
        <f>O24-P24</f>
        <v>6500000</v>
      </c>
      <c r="R24" s="168" t="s">
        <v>140</v>
      </c>
      <c r="S24" s="169"/>
      <c r="T24" s="170"/>
      <c r="U24" s="162"/>
      <c r="V24" s="170"/>
      <c r="W24" s="170"/>
      <c r="X24" s="170"/>
      <c r="Y24" s="170"/>
    </row>
    <row r="25" spans="2:25" s="171" customFormat="1" x14ac:dyDescent="0.35">
      <c r="B25" s="161"/>
      <c r="C25" s="161"/>
      <c r="D25" s="119"/>
      <c r="E25" s="119"/>
      <c r="F25" s="119"/>
      <c r="G25" s="119"/>
      <c r="H25" s="119"/>
      <c r="I25" s="119"/>
      <c r="J25" s="119"/>
      <c r="K25" s="163"/>
      <c r="L25" s="178"/>
      <c r="M25" s="178"/>
      <c r="N25" s="164" t="s">
        <v>275</v>
      </c>
      <c r="O25" s="175">
        <v>21835562</v>
      </c>
      <c r="P25" s="176">
        <v>21835562</v>
      </c>
      <c r="Q25" s="173"/>
      <c r="R25" s="168"/>
      <c r="S25" s="169"/>
      <c r="T25" s="170"/>
      <c r="U25" s="162"/>
      <c r="V25" s="170"/>
      <c r="W25" s="170"/>
      <c r="X25" s="170"/>
      <c r="Y25" s="170"/>
    </row>
    <row r="26" spans="2:25" s="9" customFormat="1" x14ac:dyDescent="0.35">
      <c r="B26" s="14"/>
      <c r="C26" s="15"/>
      <c r="D26" s="13"/>
      <c r="E26" s="15"/>
      <c r="F26" s="15"/>
      <c r="G26" s="15"/>
      <c r="H26" s="15"/>
      <c r="I26" s="15"/>
      <c r="J26" s="15"/>
      <c r="K26" s="10"/>
      <c r="L26" s="14"/>
      <c r="M26" s="14"/>
      <c r="N26" s="61"/>
      <c r="O26" s="62"/>
      <c r="P26" s="60"/>
      <c r="Q26" s="69"/>
      <c r="R26" s="79"/>
      <c r="S26" s="50"/>
      <c r="T26" s="78"/>
      <c r="U26" s="10"/>
      <c r="V26" s="52"/>
      <c r="W26" s="52"/>
      <c r="X26" s="52"/>
      <c r="Y26" s="52"/>
    </row>
    <row r="27" spans="2:25" s="9" customFormat="1" x14ac:dyDescent="0.35">
      <c r="B27" s="14"/>
      <c r="C27" s="15"/>
      <c r="D27" s="7"/>
      <c r="E27" s="15"/>
      <c r="F27" s="15"/>
      <c r="G27" s="15"/>
      <c r="H27" s="15"/>
      <c r="I27" s="15"/>
      <c r="J27" s="15"/>
      <c r="K27" s="10"/>
      <c r="L27" s="14"/>
      <c r="M27" s="14"/>
      <c r="N27" s="80" t="s">
        <v>143</v>
      </c>
      <c r="O27" s="94">
        <f>SUM(O17:O26)</f>
        <v>89405167</v>
      </c>
      <c r="P27" s="95">
        <f>SUM(P17:P26)</f>
        <v>71905167</v>
      </c>
      <c r="Q27" s="96">
        <f>SUM(Q17:Q26)</f>
        <v>17500000</v>
      </c>
      <c r="R27" s="18"/>
      <c r="S27" s="50"/>
      <c r="T27" s="78"/>
      <c r="U27" s="10"/>
      <c r="V27" s="52"/>
      <c r="W27" s="52"/>
      <c r="X27" s="52"/>
      <c r="Y27" s="52"/>
    </row>
    <row r="28" spans="2:25" s="9" customFormat="1" x14ac:dyDescent="0.35">
      <c r="B28" s="14"/>
      <c r="C28" s="15"/>
      <c r="D28" s="7"/>
      <c r="E28" s="15"/>
      <c r="F28" s="15"/>
      <c r="G28" s="15"/>
      <c r="H28" s="15"/>
      <c r="I28" s="15"/>
      <c r="J28" s="15"/>
      <c r="K28" s="10"/>
      <c r="L28" s="14"/>
      <c r="M28" s="14"/>
      <c r="N28" s="61"/>
      <c r="O28" s="62"/>
      <c r="P28" s="60"/>
      <c r="Q28" s="69"/>
      <c r="R28" s="18"/>
      <c r="S28" s="50"/>
      <c r="T28" s="78"/>
      <c r="U28" s="10"/>
      <c r="V28" s="52"/>
      <c r="W28" s="52"/>
      <c r="X28" s="52"/>
      <c r="Y28" s="52"/>
    </row>
    <row r="29" spans="2:25" s="9" customFormat="1" x14ac:dyDescent="0.35">
      <c r="B29" s="14"/>
      <c r="C29" s="15"/>
      <c r="D29" s="7"/>
      <c r="E29" s="15"/>
      <c r="F29" s="15"/>
      <c r="G29" s="15"/>
      <c r="H29" s="15"/>
      <c r="I29" s="15"/>
      <c r="J29" s="15"/>
      <c r="K29" s="10"/>
      <c r="L29" s="14"/>
      <c r="M29" s="14"/>
      <c r="N29" s="61"/>
      <c r="O29" s="62"/>
      <c r="P29" s="60"/>
      <c r="Q29" s="69"/>
      <c r="R29" s="18"/>
      <c r="S29" s="50"/>
      <c r="T29" s="78"/>
      <c r="U29" s="10"/>
      <c r="V29" s="52"/>
      <c r="W29" s="52"/>
      <c r="X29" s="52"/>
      <c r="Y29" s="52"/>
    </row>
    <row r="30" spans="2:25" s="9" customFormat="1" x14ac:dyDescent="0.35">
      <c r="B30" s="14"/>
      <c r="C30" s="15"/>
      <c r="D30" s="7"/>
      <c r="E30" s="15"/>
      <c r="F30" s="15"/>
      <c r="G30" s="15"/>
      <c r="H30" s="15"/>
      <c r="I30" s="15"/>
      <c r="J30" s="15"/>
      <c r="K30" s="10"/>
      <c r="L30" s="14"/>
      <c r="M30" s="14"/>
      <c r="N30" s="61"/>
      <c r="O30" s="62"/>
      <c r="P30" s="60"/>
      <c r="Q30" s="69"/>
      <c r="R30" s="18"/>
      <c r="S30" s="50"/>
      <c r="T30" s="78"/>
      <c r="U30" s="10"/>
      <c r="V30" s="52"/>
      <c r="W30" s="52"/>
      <c r="X30" s="52"/>
      <c r="Y30" s="52"/>
    </row>
    <row r="31" spans="2:25" s="171" customFormat="1" x14ac:dyDescent="0.35">
      <c r="B31" s="161" t="s">
        <v>29</v>
      </c>
      <c r="C31" s="163">
        <v>1</v>
      </c>
      <c r="D31" s="119" t="s">
        <v>124</v>
      </c>
      <c r="E31" s="119"/>
      <c r="F31" s="119"/>
      <c r="G31" s="119" t="s">
        <v>276</v>
      </c>
      <c r="H31" s="119" t="s">
        <v>112</v>
      </c>
      <c r="I31" s="119" t="s">
        <v>114</v>
      </c>
      <c r="J31" s="119" t="s">
        <v>115</v>
      </c>
      <c r="K31" s="163" t="s">
        <v>132</v>
      </c>
      <c r="L31" s="161" t="s">
        <v>116</v>
      </c>
      <c r="M31" s="161" t="s">
        <v>117</v>
      </c>
      <c r="N31" s="164">
        <v>46144</v>
      </c>
      <c r="O31" s="175">
        <v>70000000</v>
      </c>
      <c r="P31" s="176">
        <v>60000000</v>
      </c>
      <c r="Q31" s="173">
        <f>O31-P31</f>
        <v>10000000</v>
      </c>
      <c r="R31" s="168" t="s">
        <v>140</v>
      </c>
      <c r="S31" s="174">
        <v>46150</v>
      </c>
      <c r="T31" s="177">
        <v>46150</v>
      </c>
      <c r="U31" s="163">
        <v>14</v>
      </c>
      <c r="V31" s="179">
        <f>U31+T31</f>
        <v>46164</v>
      </c>
      <c r="W31" s="170">
        <v>46167</v>
      </c>
      <c r="X31" s="170"/>
      <c r="Y31" s="170"/>
    </row>
    <row r="32" spans="2:25" s="171" customFormat="1" x14ac:dyDescent="0.35">
      <c r="B32" s="161"/>
      <c r="C32" s="163">
        <v>2</v>
      </c>
      <c r="D32" s="119" t="s">
        <v>163</v>
      </c>
      <c r="E32" s="119"/>
      <c r="F32" s="119"/>
      <c r="G32" s="119" t="s">
        <v>276</v>
      </c>
      <c r="H32" s="119" t="s">
        <v>112</v>
      </c>
      <c r="I32" s="119" t="s">
        <v>114</v>
      </c>
      <c r="J32" s="119" t="s">
        <v>115</v>
      </c>
      <c r="K32" s="163" t="s">
        <v>132</v>
      </c>
      <c r="L32" s="161" t="s">
        <v>116</v>
      </c>
      <c r="M32" s="161"/>
      <c r="N32" s="164">
        <v>46151</v>
      </c>
      <c r="O32" s="175">
        <v>65000000</v>
      </c>
      <c r="P32" s="176">
        <v>45000000</v>
      </c>
      <c r="Q32" s="173">
        <f>O32-P32</f>
        <v>20000000</v>
      </c>
      <c r="R32" s="168" t="s">
        <v>140</v>
      </c>
      <c r="S32" s="174">
        <v>46161</v>
      </c>
      <c r="T32" s="177">
        <v>46162</v>
      </c>
      <c r="U32" s="163">
        <v>14</v>
      </c>
      <c r="V32" s="179">
        <f>T32+U32</f>
        <v>46176</v>
      </c>
      <c r="W32" s="170">
        <v>46184</v>
      </c>
      <c r="X32" s="170"/>
      <c r="Y32" s="170"/>
    </row>
    <row r="33" spans="2:25" s="9" customFormat="1" x14ac:dyDescent="0.35">
      <c r="B33" s="14"/>
      <c r="C33" s="15"/>
      <c r="D33" s="7"/>
      <c r="E33" s="15"/>
      <c r="F33" s="15"/>
      <c r="G33" s="15"/>
      <c r="H33" s="15"/>
      <c r="I33" s="15"/>
      <c r="J33" s="15"/>
      <c r="K33" s="10"/>
      <c r="L33" s="14"/>
      <c r="M33" s="14"/>
      <c r="N33" s="61"/>
      <c r="O33" s="62"/>
      <c r="P33" s="60"/>
      <c r="Q33" s="63"/>
      <c r="R33" s="18"/>
      <c r="S33" s="50"/>
      <c r="T33" s="64"/>
      <c r="U33" s="10"/>
      <c r="V33" s="52"/>
      <c r="W33" s="52"/>
      <c r="X33" s="52"/>
      <c r="Y33" s="52"/>
    </row>
    <row r="34" spans="2:25" s="9" customFormat="1" x14ac:dyDescent="0.35">
      <c r="B34" s="14"/>
      <c r="C34" s="15"/>
      <c r="D34" s="7"/>
      <c r="E34" s="15"/>
      <c r="F34" s="15"/>
      <c r="G34" s="15"/>
      <c r="H34" s="15"/>
      <c r="I34" s="15"/>
      <c r="J34" s="14"/>
      <c r="K34" s="10"/>
      <c r="L34" s="14"/>
      <c r="M34" s="14"/>
      <c r="N34" s="80" t="s">
        <v>142</v>
      </c>
      <c r="O34" s="94">
        <f>SUM(O31:O33)</f>
        <v>135000000</v>
      </c>
      <c r="P34" s="95">
        <f>SUM(P31:P33)</f>
        <v>105000000</v>
      </c>
      <c r="Q34" s="97">
        <f>SUM(Q31:Q33)</f>
        <v>30000000</v>
      </c>
      <c r="R34" s="18"/>
      <c r="S34" s="50"/>
      <c r="T34" s="64"/>
      <c r="U34" s="65"/>
      <c r="V34" s="52"/>
      <c r="W34" s="52"/>
      <c r="X34" s="52"/>
      <c r="Y34" s="52"/>
    </row>
    <row r="35" spans="2:25" s="9" customFormat="1" x14ac:dyDescent="0.35">
      <c r="B35" s="14"/>
      <c r="C35" s="15"/>
      <c r="D35" s="7"/>
      <c r="E35" s="15"/>
      <c r="F35" s="15"/>
      <c r="G35" s="15"/>
      <c r="H35" s="15"/>
      <c r="I35" s="15"/>
      <c r="J35" s="14"/>
      <c r="K35" s="10"/>
      <c r="L35" s="14"/>
      <c r="M35" s="14"/>
      <c r="N35" s="61"/>
      <c r="O35" s="62"/>
      <c r="P35" s="60"/>
      <c r="Q35" s="63"/>
      <c r="R35" s="18"/>
      <c r="S35" s="50"/>
      <c r="T35" s="64"/>
      <c r="U35" s="65"/>
      <c r="V35" s="52"/>
      <c r="W35" s="52"/>
      <c r="X35" s="52"/>
      <c r="Y35" s="52"/>
    </row>
    <row r="36" spans="2:25" s="9" customFormat="1" x14ac:dyDescent="0.35">
      <c r="B36" s="14"/>
      <c r="C36" s="14"/>
      <c r="D36" s="66"/>
      <c r="E36" s="14"/>
      <c r="F36" s="14"/>
      <c r="G36" s="14"/>
      <c r="H36" s="14"/>
      <c r="I36" s="14"/>
      <c r="J36" s="14"/>
      <c r="K36" s="11"/>
      <c r="L36" s="14"/>
      <c r="M36" s="14"/>
      <c r="N36" s="61"/>
      <c r="O36" s="46"/>
      <c r="P36" s="70"/>
      <c r="Q36" s="63"/>
      <c r="R36" s="18"/>
      <c r="S36" s="50"/>
      <c r="T36" s="64"/>
      <c r="U36" s="65"/>
      <c r="V36" s="52"/>
      <c r="W36" s="52"/>
      <c r="X36" s="52"/>
      <c r="Y36" s="52"/>
    </row>
    <row r="37" spans="2:25" s="9" customFormat="1" x14ac:dyDescent="0.35">
      <c r="B37" s="14"/>
      <c r="C37" s="14"/>
      <c r="D37" s="7"/>
      <c r="E37" s="15"/>
      <c r="F37" s="15"/>
      <c r="G37" s="15"/>
      <c r="H37" s="67"/>
      <c r="I37" s="14"/>
      <c r="J37" s="14"/>
      <c r="K37" s="10"/>
      <c r="L37" s="14"/>
      <c r="M37" s="14"/>
      <c r="N37" s="61"/>
      <c r="O37" s="60"/>
      <c r="P37" s="62"/>
      <c r="Q37" s="63"/>
      <c r="R37" s="18"/>
      <c r="S37" s="50"/>
      <c r="T37" s="64"/>
      <c r="U37" s="65"/>
      <c r="V37" s="52"/>
      <c r="W37" s="52"/>
      <c r="X37" s="52"/>
      <c r="Y37" s="52"/>
    </row>
    <row r="38" spans="2:25" x14ac:dyDescent="0.35">
      <c r="B38" s="68" t="s">
        <v>164</v>
      </c>
      <c r="C38" s="7"/>
      <c r="D38" s="6"/>
      <c r="E38" s="6"/>
      <c r="F38" s="6"/>
      <c r="G38" s="6"/>
      <c r="H38" s="6"/>
      <c r="I38" s="6"/>
      <c r="J38" s="6"/>
      <c r="K38" s="6"/>
      <c r="L38" s="6"/>
      <c r="M38" s="7"/>
      <c r="N38" s="45"/>
      <c r="O38" s="59"/>
      <c r="P38" s="59"/>
      <c r="Q38" s="59"/>
      <c r="S38" s="24"/>
      <c r="T38" s="53"/>
      <c r="U38" s="65"/>
      <c r="V38" s="52"/>
      <c r="W38" s="24"/>
      <c r="X38" s="24"/>
      <c r="Y38" s="24"/>
    </row>
    <row r="39" spans="2:25" s="125" customFormat="1" x14ac:dyDescent="0.35">
      <c r="B39" s="161" t="s">
        <v>29</v>
      </c>
      <c r="C39" s="117">
        <v>3</v>
      </c>
      <c r="D39" s="161" t="s">
        <v>166</v>
      </c>
      <c r="E39" s="180"/>
      <c r="F39" s="180"/>
      <c r="G39" s="119" t="s">
        <v>276</v>
      </c>
      <c r="H39" s="161" t="s">
        <v>112</v>
      </c>
      <c r="I39" s="161" t="s">
        <v>114</v>
      </c>
      <c r="J39" s="161" t="s">
        <v>115</v>
      </c>
      <c r="K39" s="181" t="s">
        <v>132</v>
      </c>
      <c r="L39" s="161" t="s">
        <v>116</v>
      </c>
      <c r="M39" s="117"/>
      <c r="N39" s="126"/>
      <c r="O39" s="165">
        <v>13000000</v>
      </c>
      <c r="P39" s="165">
        <v>12000000</v>
      </c>
      <c r="Q39" s="129">
        <f t="shared" ref="Q39:Q48" si="0">O39-P39</f>
        <v>1000000</v>
      </c>
      <c r="R39" s="168" t="s">
        <v>140</v>
      </c>
      <c r="S39" s="118"/>
      <c r="T39" s="118"/>
      <c r="U39" s="162"/>
      <c r="V39" s="170"/>
      <c r="W39" s="170">
        <v>46184</v>
      </c>
      <c r="X39" s="118"/>
      <c r="Y39" s="118"/>
    </row>
    <row r="40" spans="2:25" s="125" customFormat="1" x14ac:dyDescent="0.35">
      <c r="B40" s="161"/>
      <c r="C40" s="117">
        <v>4</v>
      </c>
      <c r="D40" s="161" t="s">
        <v>167</v>
      </c>
      <c r="E40" s="180"/>
      <c r="F40" s="180"/>
      <c r="G40" s="119" t="s">
        <v>276</v>
      </c>
      <c r="H40" s="161" t="s">
        <v>112</v>
      </c>
      <c r="I40" s="161" t="s">
        <v>114</v>
      </c>
      <c r="J40" s="161" t="s">
        <v>115</v>
      </c>
      <c r="K40" s="181" t="s">
        <v>132</v>
      </c>
      <c r="L40" s="161" t="s">
        <v>116</v>
      </c>
      <c r="M40" s="117"/>
      <c r="N40" s="126"/>
      <c r="O40" s="165">
        <v>50000000</v>
      </c>
      <c r="P40" s="165">
        <v>45000000</v>
      </c>
      <c r="Q40" s="129">
        <f t="shared" si="0"/>
        <v>5000000</v>
      </c>
      <c r="R40" s="168" t="s">
        <v>140</v>
      </c>
      <c r="S40" s="118"/>
      <c r="T40" s="118"/>
      <c r="U40" s="162"/>
      <c r="V40" s="170"/>
      <c r="W40" s="118">
        <v>46212</v>
      </c>
      <c r="X40" s="118"/>
      <c r="Y40" s="118"/>
    </row>
    <row r="41" spans="2:25" s="125" customFormat="1" x14ac:dyDescent="0.35">
      <c r="B41" s="161"/>
      <c r="C41" s="117"/>
      <c r="D41" s="161" t="s">
        <v>173</v>
      </c>
      <c r="E41" s="117"/>
      <c r="F41" s="117" t="s">
        <v>127</v>
      </c>
      <c r="G41" s="117"/>
      <c r="H41" s="117" t="s">
        <v>112</v>
      </c>
      <c r="I41" s="119" t="s">
        <v>114</v>
      </c>
      <c r="J41" s="119" t="s">
        <v>115</v>
      </c>
      <c r="K41" s="117" t="s">
        <v>54</v>
      </c>
      <c r="L41" s="117" t="s">
        <v>165</v>
      </c>
      <c r="M41" s="117" t="s">
        <v>231</v>
      </c>
      <c r="N41" s="126">
        <v>46180</v>
      </c>
      <c r="O41" s="129">
        <v>13000000</v>
      </c>
      <c r="P41" s="129">
        <v>8000000</v>
      </c>
      <c r="Q41" s="129">
        <f t="shared" si="0"/>
        <v>5000000</v>
      </c>
      <c r="R41" s="168" t="s">
        <v>140</v>
      </c>
      <c r="S41" s="118"/>
      <c r="T41" s="118"/>
      <c r="U41" s="118"/>
      <c r="V41" s="118"/>
      <c r="W41" s="118"/>
      <c r="X41" s="118"/>
      <c r="Y41" s="118"/>
    </row>
    <row r="42" spans="2:25" s="125" customFormat="1" x14ac:dyDescent="0.35">
      <c r="B42" s="161"/>
      <c r="C42" s="117"/>
      <c r="D42" s="161" t="s">
        <v>207</v>
      </c>
      <c r="E42" s="117"/>
      <c r="F42" s="117" t="s">
        <v>127</v>
      </c>
      <c r="G42" s="117"/>
      <c r="H42" s="117" t="s">
        <v>112</v>
      </c>
      <c r="I42" s="119" t="s">
        <v>114</v>
      </c>
      <c r="J42" s="119" t="s">
        <v>115</v>
      </c>
      <c r="K42" s="117" t="s">
        <v>54</v>
      </c>
      <c r="L42" s="117" t="s">
        <v>206</v>
      </c>
      <c r="M42" s="117" t="s">
        <v>232</v>
      </c>
      <c r="N42" s="126">
        <v>46182</v>
      </c>
      <c r="O42" s="129">
        <v>16000000</v>
      </c>
      <c r="P42" s="129">
        <v>9500000</v>
      </c>
      <c r="Q42" s="129">
        <f t="shared" si="0"/>
        <v>6500000</v>
      </c>
      <c r="R42" s="168" t="s">
        <v>140</v>
      </c>
      <c r="S42" s="118"/>
      <c r="T42" s="118"/>
      <c r="U42" s="118"/>
      <c r="V42" s="118"/>
      <c r="W42" s="118"/>
      <c r="X42" s="118"/>
      <c r="Y42" s="118"/>
    </row>
    <row r="43" spans="2:25" s="125" customFormat="1" x14ac:dyDescent="0.35">
      <c r="B43" s="161"/>
      <c r="C43" s="117">
        <v>5</v>
      </c>
      <c r="D43" s="161" t="s">
        <v>211</v>
      </c>
      <c r="E43" s="180"/>
      <c r="F43" s="180"/>
      <c r="G43" s="119" t="s">
        <v>276</v>
      </c>
      <c r="H43" s="161" t="s">
        <v>112</v>
      </c>
      <c r="I43" s="161" t="s">
        <v>114</v>
      </c>
      <c r="J43" s="161" t="s">
        <v>115</v>
      </c>
      <c r="K43" s="181" t="s">
        <v>132</v>
      </c>
      <c r="L43" s="161" t="s">
        <v>116</v>
      </c>
      <c r="M43" s="117"/>
      <c r="N43" s="182"/>
      <c r="O43" s="129">
        <v>15000000</v>
      </c>
      <c r="P43" s="129">
        <v>13000000</v>
      </c>
      <c r="Q43" s="129">
        <f t="shared" si="0"/>
        <v>2000000</v>
      </c>
      <c r="R43" s="168" t="s">
        <v>140</v>
      </c>
      <c r="S43" s="118"/>
      <c r="T43" s="118"/>
      <c r="U43" s="118"/>
      <c r="V43" s="118"/>
      <c r="W43" s="118">
        <v>46212</v>
      </c>
      <c r="X43" s="118"/>
      <c r="Y43" s="118"/>
    </row>
    <row r="44" spans="2:25" s="125" customFormat="1" x14ac:dyDescent="0.35">
      <c r="B44" s="161"/>
      <c r="C44" s="117">
        <v>6</v>
      </c>
      <c r="D44" s="161" t="s">
        <v>230</v>
      </c>
      <c r="E44" s="180"/>
      <c r="F44" s="180"/>
      <c r="G44" s="119" t="s">
        <v>276</v>
      </c>
      <c r="H44" s="161" t="s">
        <v>112</v>
      </c>
      <c r="I44" s="161" t="s">
        <v>114</v>
      </c>
      <c r="J44" s="161" t="s">
        <v>115</v>
      </c>
      <c r="K44" s="181" t="s">
        <v>132</v>
      </c>
      <c r="L44" s="161" t="s">
        <v>116</v>
      </c>
      <c r="M44" s="117"/>
      <c r="N44" s="182"/>
      <c r="O44" s="129">
        <v>12000000</v>
      </c>
      <c r="P44" s="129">
        <v>10000000</v>
      </c>
      <c r="Q44" s="129">
        <f t="shared" si="0"/>
        <v>2000000</v>
      </c>
      <c r="R44" s="168" t="s">
        <v>140</v>
      </c>
      <c r="S44" s="118"/>
      <c r="T44" s="118"/>
      <c r="U44" s="118"/>
      <c r="V44" s="118"/>
      <c r="W44" s="118"/>
      <c r="X44" s="118"/>
      <c r="Y44" s="118"/>
    </row>
    <row r="45" spans="2:25" s="125" customFormat="1" x14ac:dyDescent="0.35">
      <c r="B45" s="161"/>
      <c r="C45" s="117"/>
      <c r="D45" s="161" t="s">
        <v>249</v>
      </c>
      <c r="E45" s="180"/>
      <c r="F45" s="180" t="s">
        <v>127</v>
      </c>
      <c r="G45" s="180"/>
      <c r="H45" s="117" t="s">
        <v>112</v>
      </c>
      <c r="I45" s="119" t="s">
        <v>114</v>
      </c>
      <c r="J45" s="119" t="s">
        <v>115</v>
      </c>
      <c r="K45" s="117" t="s">
        <v>54</v>
      </c>
      <c r="L45" s="161"/>
      <c r="M45" s="117" t="s">
        <v>250</v>
      </c>
      <c r="N45" s="182"/>
      <c r="O45" s="129">
        <v>14000000</v>
      </c>
      <c r="P45" s="129">
        <v>12000000</v>
      </c>
      <c r="Q45" s="129">
        <f t="shared" si="0"/>
        <v>2000000</v>
      </c>
      <c r="R45" s="168" t="s">
        <v>140</v>
      </c>
      <c r="S45" s="118"/>
      <c r="T45" s="118"/>
      <c r="U45" s="118"/>
      <c r="V45" s="118"/>
      <c r="W45" s="118"/>
      <c r="X45" s="118"/>
      <c r="Y45" s="118"/>
    </row>
    <row r="46" spans="2:25" s="125" customFormat="1" x14ac:dyDescent="0.35">
      <c r="B46" s="161"/>
      <c r="C46" s="117"/>
      <c r="D46" s="161"/>
      <c r="E46" s="180"/>
      <c r="F46" s="180"/>
      <c r="G46" s="180"/>
      <c r="H46" s="180"/>
      <c r="I46" s="161"/>
      <c r="J46" s="161"/>
      <c r="K46" s="180"/>
      <c r="L46" s="161"/>
      <c r="M46" s="117"/>
      <c r="N46" s="182" t="s">
        <v>275</v>
      </c>
      <c r="O46" s="129">
        <v>530580</v>
      </c>
      <c r="P46" s="129">
        <v>530580</v>
      </c>
      <c r="Q46" s="129">
        <f t="shared" si="0"/>
        <v>0</v>
      </c>
      <c r="S46" s="118"/>
      <c r="T46" s="118"/>
      <c r="U46" s="118"/>
      <c r="V46" s="118"/>
      <c r="W46" s="118"/>
      <c r="X46" s="118"/>
      <c r="Y46" s="118"/>
    </row>
    <row r="47" spans="2:25" s="125" customFormat="1" x14ac:dyDescent="0.35">
      <c r="B47" s="161"/>
      <c r="C47" s="117"/>
      <c r="D47" s="161"/>
      <c r="E47" s="180"/>
      <c r="F47" s="180"/>
      <c r="G47" s="180"/>
      <c r="H47" s="180"/>
      <c r="I47" s="161"/>
      <c r="J47" s="161"/>
      <c r="K47" s="180"/>
      <c r="L47" s="161"/>
      <c r="M47" s="117"/>
      <c r="N47" s="182" t="s">
        <v>275</v>
      </c>
      <c r="O47" s="129">
        <v>651946</v>
      </c>
      <c r="P47" s="129">
        <v>651946</v>
      </c>
      <c r="Q47" s="129">
        <f t="shared" si="0"/>
        <v>0</v>
      </c>
      <c r="S47" s="118"/>
      <c r="T47" s="118"/>
      <c r="U47" s="118"/>
      <c r="V47" s="118"/>
      <c r="W47" s="118"/>
      <c r="X47" s="118"/>
      <c r="Y47" s="118"/>
    </row>
    <row r="48" spans="2:25" s="125" customFormat="1" x14ac:dyDescent="0.35">
      <c r="B48" s="161"/>
      <c r="C48" s="117"/>
      <c r="D48" s="161"/>
      <c r="E48" s="180"/>
      <c r="F48" s="180"/>
      <c r="G48" s="180"/>
      <c r="H48" s="161"/>
      <c r="I48" s="161"/>
      <c r="J48" s="161"/>
      <c r="K48" s="181"/>
      <c r="L48" s="161"/>
      <c r="M48" s="117"/>
      <c r="N48" s="182" t="s">
        <v>275</v>
      </c>
      <c r="O48" s="129">
        <v>480000</v>
      </c>
      <c r="P48" s="129">
        <v>480000</v>
      </c>
      <c r="Q48" s="129">
        <f t="shared" si="0"/>
        <v>0</v>
      </c>
      <c r="S48" s="118"/>
      <c r="T48" s="118"/>
      <c r="U48" s="118"/>
      <c r="V48" s="118"/>
      <c r="W48" s="118"/>
      <c r="X48" s="118"/>
      <c r="Y48" s="118"/>
    </row>
    <row r="49" spans="2:25" x14ac:dyDescent="0.35">
      <c r="B49" s="14"/>
      <c r="C49" s="7"/>
      <c r="D49" s="85"/>
      <c r="E49" s="90"/>
      <c r="F49" s="90"/>
      <c r="G49" s="90"/>
      <c r="H49" s="91"/>
      <c r="I49" s="91"/>
      <c r="J49" s="91"/>
      <c r="K49" s="92"/>
      <c r="L49" s="91"/>
      <c r="M49" s="7"/>
      <c r="N49" s="89"/>
      <c r="O49" s="59"/>
      <c r="P49" s="59"/>
      <c r="Q49" s="59"/>
      <c r="S49" s="24"/>
      <c r="T49" s="53"/>
      <c r="U49" s="24"/>
      <c r="V49" s="24"/>
      <c r="W49" s="24"/>
      <c r="X49" s="24"/>
      <c r="Y49" s="24"/>
    </row>
    <row r="50" spans="2:25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80" t="s">
        <v>174</v>
      </c>
      <c r="O50" s="83">
        <f>SUM(O39:O48)</f>
        <v>134662526</v>
      </c>
      <c r="P50" s="83">
        <f>SUM(P39:P48)</f>
        <v>111162526</v>
      </c>
      <c r="Q50" s="83">
        <f>SUM(Q39:Q48)</f>
        <v>23500000</v>
      </c>
      <c r="S50" s="24"/>
      <c r="T50" s="53"/>
      <c r="U50" s="24"/>
      <c r="V50" s="24"/>
      <c r="W50" s="24"/>
      <c r="X50" s="24"/>
      <c r="Y50" s="24"/>
    </row>
    <row r="51" spans="2:25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S51" s="24"/>
      <c r="T51" s="53"/>
      <c r="U51" s="24"/>
      <c r="V51" s="24"/>
      <c r="W51" s="24"/>
      <c r="X51" s="24"/>
      <c r="Y51" s="24"/>
    </row>
    <row r="52" spans="2:25" x14ac:dyDescent="0.35">
      <c r="B52" s="68" t="s">
        <v>236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S52" s="24"/>
      <c r="T52" s="53"/>
      <c r="U52" s="24"/>
      <c r="V52" s="24"/>
      <c r="W52" s="24"/>
      <c r="X52" s="24"/>
      <c r="Y52" s="24"/>
    </row>
    <row r="53" spans="2:25" s="115" customFormat="1" x14ac:dyDescent="0.35">
      <c r="B53" s="160" t="s">
        <v>29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S53" s="113"/>
      <c r="T53" s="112"/>
      <c r="U53" s="113"/>
      <c r="V53" s="113"/>
      <c r="W53" s="113"/>
      <c r="X53" s="113"/>
      <c r="Y53" s="113"/>
    </row>
    <row r="54" spans="2:25" s="140" customFormat="1" x14ac:dyDescent="0.35">
      <c r="B54" s="134"/>
      <c r="C54" s="133">
        <v>7</v>
      </c>
      <c r="D54" s="152" t="s">
        <v>242</v>
      </c>
      <c r="E54" s="150"/>
      <c r="F54" s="150" t="s">
        <v>118</v>
      </c>
      <c r="G54" s="150"/>
      <c r="H54" s="172" t="s">
        <v>112</v>
      </c>
      <c r="I54" s="172" t="s">
        <v>114</v>
      </c>
      <c r="J54" s="172" t="s">
        <v>115</v>
      </c>
      <c r="K54" s="183" t="s">
        <v>132</v>
      </c>
      <c r="L54" s="172" t="s">
        <v>116</v>
      </c>
      <c r="M54" s="134"/>
      <c r="N54" s="134"/>
      <c r="O54" s="184">
        <v>14000000</v>
      </c>
      <c r="P54" s="184">
        <v>12000000</v>
      </c>
      <c r="Q54" s="184">
        <f>O54-P54</f>
        <v>2000000</v>
      </c>
      <c r="R54" s="168" t="s">
        <v>140</v>
      </c>
      <c r="S54" s="185"/>
      <c r="T54" s="185"/>
      <c r="U54" s="185"/>
      <c r="V54" s="185"/>
      <c r="W54" s="185"/>
      <c r="X54" s="185"/>
      <c r="Y54" s="185"/>
    </row>
    <row r="55" spans="2:25" s="140" customFormat="1" x14ac:dyDescent="0.35">
      <c r="B55" s="134"/>
      <c r="C55" s="133">
        <v>8</v>
      </c>
      <c r="D55" s="152" t="s">
        <v>254</v>
      </c>
      <c r="E55" s="150"/>
      <c r="F55" s="150" t="s">
        <v>118</v>
      </c>
      <c r="G55" s="150"/>
      <c r="H55" s="172" t="s">
        <v>112</v>
      </c>
      <c r="I55" s="172" t="s">
        <v>114</v>
      </c>
      <c r="J55" s="172" t="s">
        <v>115</v>
      </c>
      <c r="K55" s="183" t="s">
        <v>132</v>
      </c>
      <c r="L55" s="172" t="s">
        <v>116</v>
      </c>
      <c r="M55" s="134"/>
      <c r="N55" s="134"/>
      <c r="O55" s="184">
        <v>18000000</v>
      </c>
      <c r="P55" s="184">
        <v>16000000</v>
      </c>
      <c r="Q55" s="184">
        <f>O55-P55</f>
        <v>2000000</v>
      </c>
      <c r="R55" s="168" t="s">
        <v>140</v>
      </c>
      <c r="S55" s="185"/>
      <c r="T55" s="185"/>
      <c r="U55" s="185"/>
      <c r="V55" s="185"/>
      <c r="W55" s="185"/>
      <c r="X55" s="185"/>
      <c r="Y55" s="185"/>
    </row>
    <row r="56" spans="2:25" x14ac:dyDescent="0.35">
      <c r="B56" s="6"/>
      <c r="C56" s="7">
        <v>9</v>
      </c>
      <c r="D56" s="85" t="s">
        <v>267</v>
      </c>
      <c r="E56" s="6"/>
      <c r="F56" s="7" t="s">
        <v>118</v>
      </c>
      <c r="G56" s="6"/>
      <c r="H56" s="91" t="s">
        <v>112</v>
      </c>
      <c r="I56" s="91" t="s">
        <v>114</v>
      </c>
      <c r="J56" s="91" t="s">
        <v>115</v>
      </c>
      <c r="K56" s="92" t="s">
        <v>132</v>
      </c>
      <c r="L56" s="91" t="s">
        <v>116</v>
      </c>
      <c r="M56" s="6"/>
      <c r="N56" s="6"/>
      <c r="O56" s="6"/>
      <c r="P56" s="6"/>
      <c r="Q56" s="6"/>
      <c r="S56" s="24"/>
      <c r="T56" s="53"/>
      <c r="U56" s="24"/>
      <c r="V56" s="24"/>
      <c r="W56" s="24"/>
      <c r="X56" s="24"/>
      <c r="Y56" s="24"/>
    </row>
    <row r="57" spans="2:25" x14ac:dyDescent="0.35">
      <c r="B57" s="6"/>
      <c r="C57" s="6"/>
      <c r="D57" s="85" t="s">
        <v>268</v>
      </c>
      <c r="E57" s="6"/>
      <c r="F57" s="7" t="s">
        <v>127</v>
      </c>
      <c r="G57" s="6"/>
      <c r="H57" s="48" t="s">
        <v>112</v>
      </c>
      <c r="I57" s="47" t="s">
        <v>114</v>
      </c>
      <c r="J57" s="47" t="s">
        <v>115</v>
      </c>
      <c r="K57" s="48" t="s">
        <v>54</v>
      </c>
      <c r="L57" s="91"/>
      <c r="M57" s="7" t="s">
        <v>232</v>
      </c>
      <c r="N57" s="93"/>
      <c r="O57" s="6"/>
      <c r="P57" s="6"/>
      <c r="Q57" s="6"/>
      <c r="S57" s="24"/>
      <c r="T57" s="53"/>
      <c r="U57" s="24"/>
      <c r="V57" s="24"/>
      <c r="W57" s="24"/>
      <c r="X57" s="24"/>
      <c r="Y57" s="24"/>
    </row>
    <row r="58" spans="2:25" x14ac:dyDescent="0.35">
      <c r="B58" s="6"/>
      <c r="C58" s="6"/>
      <c r="D58" s="85"/>
      <c r="E58" s="6"/>
      <c r="F58" s="6"/>
      <c r="G58" s="6"/>
      <c r="H58" s="91"/>
      <c r="I58" s="91"/>
      <c r="J58" s="91"/>
      <c r="K58" s="92"/>
      <c r="L58" s="91"/>
      <c r="M58" s="6"/>
      <c r="N58" s="93"/>
      <c r="O58" s="6"/>
      <c r="P58" s="6"/>
      <c r="Q58" s="6"/>
      <c r="S58" s="24"/>
      <c r="T58" s="53"/>
      <c r="U58" s="24"/>
      <c r="V58" s="24"/>
      <c r="W58" s="24"/>
      <c r="X58" s="24"/>
      <c r="Y58" s="24"/>
    </row>
    <row r="59" spans="2:25" x14ac:dyDescent="0.3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0" t="s">
        <v>243</v>
      </c>
      <c r="O59" s="101">
        <f>SUM(O54:O56)</f>
        <v>32000000</v>
      </c>
      <c r="P59" s="101">
        <f>SUM(P54:P56)</f>
        <v>28000000</v>
      </c>
      <c r="Q59" s="101">
        <f>SUM(Q54:Q56)</f>
        <v>4000000</v>
      </c>
      <c r="S59" s="24"/>
      <c r="T59" s="53"/>
      <c r="U59" s="24"/>
      <c r="V59" s="24"/>
      <c r="W59" s="24"/>
      <c r="X59" s="24"/>
      <c r="Y59" s="24"/>
    </row>
    <row r="60" spans="2:25" x14ac:dyDescent="0.3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S60" s="24"/>
      <c r="T60" s="53"/>
      <c r="U60" s="24"/>
      <c r="V60" s="24"/>
      <c r="W60" s="24"/>
      <c r="X60" s="24"/>
      <c r="Y60" s="24"/>
    </row>
    <row r="61" spans="2:25" x14ac:dyDescent="0.3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S61" s="24"/>
      <c r="T61" s="53"/>
      <c r="U61" s="24"/>
      <c r="V61" s="24"/>
      <c r="W61" s="24"/>
      <c r="X61" s="24"/>
      <c r="Y61" s="24"/>
    </row>
    <row r="62" spans="2:25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S62" s="24"/>
      <c r="T62" s="53"/>
      <c r="U62" s="24"/>
      <c r="V62" s="24"/>
      <c r="W62" s="24"/>
      <c r="X62" s="24"/>
      <c r="Y62" s="24"/>
    </row>
    <row r="63" spans="2:25" x14ac:dyDescent="0.3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S63" s="24"/>
      <c r="T63" s="53"/>
      <c r="U63" s="24"/>
      <c r="V63" s="24"/>
      <c r="W63" s="24"/>
      <c r="X63" s="24"/>
      <c r="Y63" s="24"/>
    </row>
    <row r="64" spans="2:25" ht="30.65" customHeigh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7" t="s">
        <v>44</v>
      </c>
      <c r="O64" s="76">
        <f>O59+O50+O34+O27+O13</f>
        <v>411067693</v>
      </c>
      <c r="P64" s="76">
        <f>P59+P50+P34+P27+P13</f>
        <v>326067693</v>
      </c>
      <c r="Q64" s="76">
        <f>Q59+Q50+Q34+Q13</f>
        <v>67500000</v>
      </c>
      <c r="S64" s="24"/>
      <c r="T64" s="24"/>
      <c r="U64" s="24"/>
      <c r="V64" s="24"/>
      <c r="W64" s="24"/>
      <c r="X64" s="24"/>
      <c r="Y64" s="24"/>
    </row>
    <row r="67" spans="16:16" x14ac:dyDescent="0.35">
      <c r="P67" s="12"/>
    </row>
  </sheetData>
  <mergeCells count="2">
    <mergeCell ref="F9:G9"/>
    <mergeCell ref="K9:K10"/>
  </mergeCells>
  <phoneticPr fontId="4" type="noConversion"/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3EE2-3FD0-4921-8C08-D09B5936F91D}">
  <dimension ref="B1:AA96"/>
  <sheetViews>
    <sheetView topLeftCell="A66" zoomScale="66" zoomScaleNormal="85" workbookViewId="0">
      <selection activeCell="O52" sqref="O52"/>
    </sheetView>
  </sheetViews>
  <sheetFormatPr defaultRowHeight="14.5" x14ac:dyDescent="0.35"/>
  <cols>
    <col min="1" max="1" width="1.6328125" customWidth="1"/>
    <col min="2" max="2" width="11.81640625" customWidth="1"/>
    <col min="3" max="3" width="11.08984375" bestFit="1" customWidth="1"/>
    <col min="4" max="4" width="15.1796875" customWidth="1"/>
    <col min="5" max="5" width="11.1796875" customWidth="1"/>
    <col min="6" max="6" width="8.1796875" customWidth="1"/>
    <col min="7" max="7" width="7.81640625" customWidth="1"/>
    <col min="8" max="8" width="32.36328125" customWidth="1"/>
    <col min="9" max="9" width="15.54296875" customWidth="1"/>
    <col min="10" max="10" width="17" bestFit="1" customWidth="1"/>
    <col min="11" max="11" width="11.54296875" customWidth="1"/>
    <col min="12" max="12" width="12.6328125" customWidth="1"/>
    <col min="13" max="13" width="30.36328125" customWidth="1"/>
    <col min="14" max="14" width="18.81640625" customWidth="1"/>
    <col min="15" max="15" width="17.90625" customWidth="1"/>
    <col min="16" max="16" width="17.08984375" customWidth="1"/>
    <col min="17" max="17" width="17.36328125" customWidth="1"/>
    <col min="18" max="18" width="12.08984375" customWidth="1"/>
    <col min="19" max="19" width="12.26953125" customWidth="1"/>
    <col min="20" max="20" width="19.6328125" customWidth="1"/>
    <col min="21" max="21" width="18.36328125" customWidth="1"/>
    <col min="22" max="22" width="9.90625" customWidth="1"/>
    <col min="23" max="23" width="13" customWidth="1"/>
    <col min="24" max="24" width="16.6328125" customWidth="1"/>
    <col min="25" max="25" width="22.6328125" customWidth="1"/>
    <col min="26" max="26" width="25.54296875" customWidth="1"/>
  </cols>
  <sheetData>
    <row r="1" spans="2:27" hidden="1" x14ac:dyDescent="0.35"/>
    <row r="2" spans="2:27" hidden="1" x14ac:dyDescent="0.35"/>
    <row r="4" spans="2:27" ht="18.5" x14ac:dyDescent="0.45">
      <c r="B4" s="4" t="s">
        <v>47</v>
      </c>
      <c r="C4" s="4"/>
    </row>
    <row r="5" spans="2:27" ht="18.5" x14ac:dyDescent="0.45">
      <c r="B5" s="4" t="s">
        <v>0</v>
      </c>
      <c r="C5" s="4"/>
      <c r="O5" s="12"/>
    </row>
    <row r="6" spans="2:27" ht="18.5" x14ac:dyDescent="0.45">
      <c r="B6" s="4" t="s">
        <v>1</v>
      </c>
      <c r="C6" s="36" t="s">
        <v>33</v>
      </c>
      <c r="O6" s="104"/>
    </row>
    <row r="7" spans="2:27" x14ac:dyDescent="0.35">
      <c r="O7" s="105"/>
    </row>
    <row r="8" spans="2:27" ht="18.5" x14ac:dyDescent="0.45">
      <c r="B8" s="5" t="s">
        <v>18</v>
      </c>
      <c r="Z8" s="186"/>
      <c r="AA8" s="37"/>
    </row>
    <row r="9" spans="2:27" x14ac:dyDescent="0.35">
      <c r="B9" s="1" t="s">
        <v>2</v>
      </c>
      <c r="C9" s="1" t="s">
        <v>3</v>
      </c>
      <c r="D9" s="1" t="s">
        <v>4</v>
      </c>
      <c r="E9" s="1" t="s">
        <v>5</v>
      </c>
      <c r="F9" s="108" t="s">
        <v>6</v>
      </c>
      <c r="G9" s="108"/>
      <c r="H9" s="1" t="s">
        <v>7</v>
      </c>
      <c r="I9" s="1" t="s">
        <v>8</v>
      </c>
      <c r="J9" s="1" t="s">
        <v>9</v>
      </c>
      <c r="K9" s="110" t="s">
        <v>15</v>
      </c>
      <c r="L9" s="1" t="s">
        <v>10</v>
      </c>
      <c r="M9" s="1" t="s">
        <v>11</v>
      </c>
      <c r="N9" s="1" t="s">
        <v>12</v>
      </c>
      <c r="O9" s="1" t="s">
        <v>16</v>
      </c>
      <c r="P9" s="1" t="s">
        <v>17</v>
      </c>
      <c r="Q9" s="25" t="s">
        <v>13</v>
      </c>
      <c r="R9" s="1" t="s">
        <v>27</v>
      </c>
    </row>
    <row r="10" spans="2:27" ht="36" customHeight="1" x14ac:dyDescent="0.35">
      <c r="B10" s="3"/>
      <c r="C10" s="3"/>
      <c r="D10" s="3"/>
      <c r="E10" s="3"/>
      <c r="F10" s="2" t="s">
        <v>14</v>
      </c>
      <c r="G10" s="2" t="s">
        <v>19</v>
      </c>
      <c r="H10" s="3"/>
      <c r="I10" s="3"/>
      <c r="J10" s="3"/>
      <c r="K10" s="111"/>
      <c r="L10" s="3"/>
      <c r="M10" s="3"/>
      <c r="N10" s="3"/>
      <c r="O10" s="3"/>
      <c r="P10" s="3"/>
      <c r="Q10" s="26"/>
      <c r="R10" s="23"/>
      <c r="T10" s="40" t="s">
        <v>37</v>
      </c>
      <c r="U10" s="40" t="s">
        <v>38</v>
      </c>
      <c r="V10" s="41" t="s">
        <v>39</v>
      </c>
      <c r="W10" s="42" t="s">
        <v>40</v>
      </c>
      <c r="X10" s="43" t="s">
        <v>41</v>
      </c>
      <c r="Y10" s="44" t="s">
        <v>42</v>
      </c>
      <c r="Z10" s="44" t="s">
        <v>48</v>
      </c>
    </row>
    <row r="11" spans="2:27" x14ac:dyDescent="0.35">
      <c r="B11" s="14"/>
      <c r="C11" s="54" t="s">
        <v>46</v>
      </c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29"/>
      <c r="R11" s="6"/>
    </row>
    <row r="12" spans="2:27" s="125" customFormat="1" x14ac:dyDescent="0.35">
      <c r="B12" s="117">
        <v>1</v>
      </c>
      <c r="C12" s="118" t="s">
        <v>266</v>
      </c>
      <c r="D12" s="119" t="s">
        <v>49</v>
      </c>
      <c r="E12" s="117" t="s">
        <v>274</v>
      </c>
      <c r="F12" s="117" t="s">
        <v>127</v>
      </c>
      <c r="G12" s="120"/>
      <c r="H12" s="117" t="s">
        <v>55</v>
      </c>
      <c r="I12" s="117" t="s">
        <v>59</v>
      </c>
      <c r="J12" s="117" t="s">
        <v>62</v>
      </c>
      <c r="K12" s="121" t="s">
        <v>54</v>
      </c>
      <c r="L12" s="117" t="s">
        <v>63</v>
      </c>
      <c r="M12" s="117" t="s">
        <v>66</v>
      </c>
      <c r="N12" s="122">
        <v>46124</v>
      </c>
      <c r="O12" s="123">
        <v>14000000</v>
      </c>
      <c r="P12" s="123">
        <v>12750000</v>
      </c>
      <c r="Q12" s="116">
        <f>O12-P12</f>
        <v>1250000</v>
      </c>
      <c r="R12" s="124">
        <f t="shared" ref="R12:R22" si="0">Q12/O12</f>
        <v>8.9285714285714288E-2</v>
      </c>
      <c r="S12" s="125" t="s">
        <v>140</v>
      </c>
      <c r="T12" s="126">
        <v>46160</v>
      </c>
      <c r="U12" s="126">
        <f>T12+2</f>
        <v>46162</v>
      </c>
      <c r="V12" s="117">
        <v>30</v>
      </c>
      <c r="W12" s="126">
        <f>V12+U12</f>
        <v>46192</v>
      </c>
      <c r="X12" s="118">
        <v>46188</v>
      </c>
      <c r="Y12" s="127">
        <v>29994659</v>
      </c>
      <c r="Z12" s="120" t="s">
        <v>218</v>
      </c>
    </row>
    <row r="13" spans="2:27" s="125" customFormat="1" x14ac:dyDescent="0.35">
      <c r="B13" s="117">
        <v>2</v>
      </c>
      <c r="C13" s="118" t="s">
        <v>266</v>
      </c>
      <c r="D13" s="119" t="s">
        <v>50</v>
      </c>
      <c r="E13" s="117" t="s">
        <v>274</v>
      </c>
      <c r="F13" s="117" t="s">
        <v>127</v>
      </c>
      <c r="G13" s="120"/>
      <c r="H13" s="117" t="s">
        <v>55</v>
      </c>
      <c r="I13" s="117" t="s">
        <v>59</v>
      </c>
      <c r="J13" s="117" t="s">
        <v>62</v>
      </c>
      <c r="K13" s="121" t="s">
        <v>54</v>
      </c>
      <c r="L13" s="117" t="s">
        <v>63</v>
      </c>
      <c r="M13" s="117" t="s">
        <v>66</v>
      </c>
      <c r="N13" s="122">
        <v>46124</v>
      </c>
      <c r="O13" s="123">
        <v>15000000</v>
      </c>
      <c r="P13" s="123">
        <v>12700000</v>
      </c>
      <c r="Q13" s="116">
        <f>O13-P13</f>
        <v>2300000</v>
      </c>
      <c r="R13" s="124">
        <f>Q13/O13</f>
        <v>0.15333333333333332</v>
      </c>
      <c r="S13" s="125" t="s">
        <v>140</v>
      </c>
      <c r="T13" s="126">
        <v>46160</v>
      </c>
      <c r="U13" s="126">
        <f>T13+2</f>
        <v>46162</v>
      </c>
      <c r="V13" s="117">
        <v>30</v>
      </c>
      <c r="W13" s="126">
        <f>V13+U13</f>
        <v>46192</v>
      </c>
      <c r="X13" s="118">
        <v>46188</v>
      </c>
      <c r="Y13" s="128"/>
      <c r="Z13" s="120" t="s">
        <v>218</v>
      </c>
    </row>
    <row r="14" spans="2:27" s="125" customFormat="1" x14ac:dyDescent="0.35">
      <c r="B14" s="117">
        <v>3</v>
      </c>
      <c r="C14" s="118" t="s">
        <v>266</v>
      </c>
      <c r="D14" s="119" t="s">
        <v>51</v>
      </c>
      <c r="E14" s="117" t="s">
        <v>274</v>
      </c>
      <c r="F14" s="117" t="s">
        <v>127</v>
      </c>
      <c r="G14" s="120"/>
      <c r="H14" s="117" t="s">
        <v>56</v>
      </c>
      <c r="I14" s="117" t="s">
        <v>59</v>
      </c>
      <c r="J14" s="117" t="s">
        <v>61</v>
      </c>
      <c r="K14" s="121" t="s">
        <v>54</v>
      </c>
      <c r="L14" s="117" t="s">
        <v>64</v>
      </c>
      <c r="M14" s="117" t="s">
        <v>67</v>
      </c>
      <c r="N14" s="122">
        <v>46133</v>
      </c>
      <c r="O14" s="123">
        <f>'[1]04-003'!$E$16</f>
        <v>16500000</v>
      </c>
      <c r="P14" s="123">
        <v>15000000</v>
      </c>
      <c r="Q14" s="116">
        <f t="shared" ref="Q14:Q22" si="1">O14-P14</f>
        <v>1500000</v>
      </c>
      <c r="R14" s="124">
        <f t="shared" si="0"/>
        <v>9.0909090909090912E-2</v>
      </c>
      <c r="S14" s="125" t="s">
        <v>140</v>
      </c>
      <c r="T14" s="126">
        <v>46177</v>
      </c>
      <c r="U14" s="126">
        <f>T14+1</f>
        <v>46178</v>
      </c>
      <c r="V14" s="117">
        <v>30</v>
      </c>
      <c r="W14" s="126">
        <f>(U14+V14)+3</f>
        <v>46211</v>
      </c>
      <c r="X14" s="118">
        <v>46213</v>
      </c>
      <c r="Y14" s="129"/>
      <c r="Z14" s="120" t="s">
        <v>219</v>
      </c>
    </row>
    <row r="15" spans="2:27" s="125" customFormat="1" x14ac:dyDescent="0.35">
      <c r="B15" s="117">
        <v>4</v>
      </c>
      <c r="C15" s="118" t="s">
        <v>266</v>
      </c>
      <c r="D15" s="119" t="s">
        <v>52</v>
      </c>
      <c r="E15" s="117" t="s">
        <v>274</v>
      </c>
      <c r="F15" s="117" t="s">
        <v>127</v>
      </c>
      <c r="G15" s="120"/>
      <c r="H15" s="117" t="s">
        <v>57</v>
      </c>
      <c r="I15" s="121" t="s">
        <v>59</v>
      </c>
      <c r="J15" s="121" t="s">
        <v>60</v>
      </c>
      <c r="K15" s="121" t="s">
        <v>54</v>
      </c>
      <c r="L15" s="117" t="s">
        <v>65</v>
      </c>
      <c r="M15" s="117" t="s">
        <v>68</v>
      </c>
      <c r="N15" s="126">
        <v>46132</v>
      </c>
      <c r="O15" s="123">
        <v>31000000</v>
      </c>
      <c r="P15" s="123">
        <v>28000000</v>
      </c>
      <c r="Q15" s="116">
        <f t="shared" si="1"/>
        <v>3000000</v>
      </c>
      <c r="R15" s="124">
        <f t="shared" si="0"/>
        <v>9.6774193548387094E-2</v>
      </c>
      <c r="S15" s="125" t="s">
        <v>140</v>
      </c>
      <c r="T15" s="126">
        <v>46134</v>
      </c>
      <c r="U15" s="126">
        <v>46134</v>
      </c>
      <c r="V15" s="117">
        <v>30</v>
      </c>
      <c r="W15" s="126">
        <f>U15+V15</f>
        <v>46164</v>
      </c>
      <c r="X15" s="118">
        <v>46198</v>
      </c>
      <c r="Y15" s="129"/>
      <c r="Z15" s="120" t="s">
        <v>262</v>
      </c>
    </row>
    <row r="16" spans="2:27" s="125" customFormat="1" x14ac:dyDescent="0.35">
      <c r="B16" s="117">
        <v>5</v>
      </c>
      <c r="C16" s="118"/>
      <c r="D16" s="119" t="s">
        <v>53</v>
      </c>
      <c r="E16" s="117" t="s">
        <v>274</v>
      </c>
      <c r="F16" s="117" t="s">
        <v>127</v>
      </c>
      <c r="G16" s="120"/>
      <c r="H16" s="117" t="s">
        <v>58</v>
      </c>
      <c r="I16" s="121" t="s">
        <v>59</v>
      </c>
      <c r="J16" s="121" t="s">
        <v>60</v>
      </c>
      <c r="K16" s="121" t="s">
        <v>54</v>
      </c>
      <c r="L16" s="117" t="s">
        <v>65</v>
      </c>
      <c r="M16" s="117" t="s">
        <v>68</v>
      </c>
      <c r="N16" s="126">
        <v>46132</v>
      </c>
      <c r="O16" s="123">
        <f>'[1]04-005'!$E$16</f>
        <v>17500000</v>
      </c>
      <c r="P16" s="123">
        <v>15000000</v>
      </c>
      <c r="Q16" s="116">
        <f t="shared" si="1"/>
        <v>2500000</v>
      </c>
      <c r="R16" s="124">
        <f t="shared" si="0"/>
        <v>0.14285714285714285</v>
      </c>
      <c r="S16" s="125" t="s">
        <v>140</v>
      </c>
      <c r="T16" s="126">
        <v>46184</v>
      </c>
      <c r="U16" s="126">
        <f>T16+1</f>
        <v>46185</v>
      </c>
      <c r="V16" s="117">
        <v>30</v>
      </c>
      <c r="W16" s="126">
        <f>(U16+V16)+3</f>
        <v>46218</v>
      </c>
      <c r="X16" s="118"/>
      <c r="Y16" s="129"/>
      <c r="Z16" s="120"/>
    </row>
    <row r="17" spans="2:26" s="125" customFormat="1" x14ac:dyDescent="0.35">
      <c r="B17" s="117">
        <v>6</v>
      </c>
      <c r="C17" s="118" t="s">
        <v>266</v>
      </c>
      <c r="D17" s="119" t="s">
        <v>70</v>
      </c>
      <c r="E17" s="117" t="s">
        <v>274</v>
      </c>
      <c r="F17" s="117" t="s">
        <v>127</v>
      </c>
      <c r="G17" s="120"/>
      <c r="H17" s="117" t="s">
        <v>55</v>
      </c>
      <c r="I17" s="119" t="s">
        <v>75</v>
      </c>
      <c r="J17" s="119" t="s">
        <v>76</v>
      </c>
      <c r="K17" s="121" t="s">
        <v>54</v>
      </c>
      <c r="L17" s="117" t="s">
        <v>80</v>
      </c>
      <c r="M17" s="117" t="s">
        <v>85</v>
      </c>
      <c r="N17" s="126">
        <v>46136</v>
      </c>
      <c r="O17" s="123">
        <v>36000000</v>
      </c>
      <c r="P17" s="123">
        <v>33000000</v>
      </c>
      <c r="Q17" s="116">
        <f t="shared" si="1"/>
        <v>3000000</v>
      </c>
      <c r="R17" s="124">
        <f t="shared" si="0"/>
        <v>8.3333333333333329E-2</v>
      </c>
      <c r="S17" s="125" t="s">
        <v>140</v>
      </c>
      <c r="T17" s="126">
        <v>46161</v>
      </c>
      <c r="U17" s="126">
        <f>T17+2</f>
        <v>46163</v>
      </c>
      <c r="V17" s="117">
        <v>30</v>
      </c>
      <c r="W17" s="126">
        <f t="shared" ref="W17:W22" si="2">V17+U17</f>
        <v>46193</v>
      </c>
      <c r="X17" s="118">
        <v>46196</v>
      </c>
      <c r="Y17" s="129"/>
      <c r="Z17" s="120" t="s">
        <v>263</v>
      </c>
    </row>
    <row r="18" spans="2:26" s="125" customFormat="1" x14ac:dyDescent="0.35">
      <c r="B18" s="117">
        <v>7</v>
      </c>
      <c r="C18" s="118" t="s">
        <v>266</v>
      </c>
      <c r="D18" s="119" t="s">
        <v>71</v>
      </c>
      <c r="E18" s="117" t="s">
        <v>274</v>
      </c>
      <c r="F18" s="117" t="s">
        <v>127</v>
      </c>
      <c r="G18" s="120"/>
      <c r="H18" s="117" t="s">
        <v>55</v>
      </c>
      <c r="I18" s="117" t="s">
        <v>59</v>
      </c>
      <c r="J18" s="117" t="s">
        <v>77</v>
      </c>
      <c r="K18" s="117" t="s">
        <v>54</v>
      </c>
      <c r="L18" s="117" t="s">
        <v>81</v>
      </c>
      <c r="M18" s="117" t="s">
        <v>86</v>
      </c>
      <c r="N18" s="126">
        <v>46133</v>
      </c>
      <c r="O18" s="123">
        <v>15000000</v>
      </c>
      <c r="P18" s="123">
        <v>11200000</v>
      </c>
      <c r="Q18" s="116">
        <f t="shared" si="1"/>
        <v>3800000</v>
      </c>
      <c r="R18" s="124">
        <f t="shared" si="0"/>
        <v>0.25333333333333335</v>
      </c>
      <c r="S18" s="125" t="s">
        <v>140</v>
      </c>
      <c r="T18" s="126">
        <v>46154</v>
      </c>
      <c r="U18" s="126">
        <f>T18+1</f>
        <v>46155</v>
      </c>
      <c r="V18" s="117">
        <v>30</v>
      </c>
      <c r="W18" s="126">
        <f t="shared" si="2"/>
        <v>46185</v>
      </c>
      <c r="X18" s="118">
        <v>46196</v>
      </c>
      <c r="Y18" s="129"/>
      <c r="Z18" s="120" t="s">
        <v>264</v>
      </c>
    </row>
    <row r="19" spans="2:26" s="125" customFormat="1" x14ac:dyDescent="0.35">
      <c r="B19" s="117">
        <v>8</v>
      </c>
      <c r="C19" s="118" t="s">
        <v>266</v>
      </c>
      <c r="D19" s="119" t="s">
        <v>72</v>
      </c>
      <c r="E19" s="117" t="s">
        <v>274</v>
      </c>
      <c r="F19" s="117" t="s">
        <v>127</v>
      </c>
      <c r="G19" s="120"/>
      <c r="H19" s="117" t="s">
        <v>55</v>
      </c>
      <c r="I19" s="117" t="s">
        <v>59</v>
      </c>
      <c r="J19" s="117" t="s">
        <v>77</v>
      </c>
      <c r="K19" s="121" t="s">
        <v>83</v>
      </c>
      <c r="L19" s="117" t="s">
        <v>81</v>
      </c>
      <c r="M19" s="117" t="s">
        <v>86</v>
      </c>
      <c r="N19" s="126">
        <v>46133</v>
      </c>
      <c r="O19" s="123">
        <v>49000000</v>
      </c>
      <c r="P19" s="123">
        <v>37000000</v>
      </c>
      <c r="Q19" s="116">
        <f t="shared" si="1"/>
        <v>12000000</v>
      </c>
      <c r="R19" s="124">
        <f t="shared" si="0"/>
        <v>0.24489795918367346</v>
      </c>
      <c r="S19" s="125" t="s">
        <v>140</v>
      </c>
      <c r="T19" s="126">
        <v>46154</v>
      </c>
      <c r="U19" s="126">
        <f>T19+1</f>
        <v>46155</v>
      </c>
      <c r="V19" s="117">
        <v>30</v>
      </c>
      <c r="W19" s="126">
        <f t="shared" si="2"/>
        <v>46185</v>
      </c>
      <c r="X19" s="118">
        <v>46188</v>
      </c>
      <c r="Y19" s="129">
        <v>48520772</v>
      </c>
      <c r="Z19" s="120" t="s">
        <v>219</v>
      </c>
    </row>
    <row r="20" spans="2:26" s="125" customFormat="1" x14ac:dyDescent="0.35">
      <c r="B20" s="117">
        <v>9</v>
      </c>
      <c r="C20" s="118" t="s">
        <v>266</v>
      </c>
      <c r="D20" s="119" t="s">
        <v>73</v>
      </c>
      <c r="E20" s="117" t="s">
        <v>274</v>
      </c>
      <c r="F20" s="117" t="s">
        <v>127</v>
      </c>
      <c r="G20" s="120"/>
      <c r="H20" s="117" t="s">
        <v>58</v>
      </c>
      <c r="I20" s="117" t="s">
        <v>59</v>
      </c>
      <c r="J20" s="117" t="s">
        <v>78</v>
      </c>
      <c r="K20" s="121" t="s">
        <v>54</v>
      </c>
      <c r="L20" s="117" t="s">
        <v>82</v>
      </c>
      <c r="M20" s="117" t="s">
        <v>87</v>
      </c>
      <c r="N20" s="126">
        <v>46137</v>
      </c>
      <c r="O20" s="123">
        <f>'[1]04-009'!$E$16</f>
        <v>29300000</v>
      </c>
      <c r="P20" s="123">
        <v>26500000</v>
      </c>
      <c r="Q20" s="116">
        <f t="shared" si="1"/>
        <v>2800000</v>
      </c>
      <c r="R20" s="124">
        <f t="shared" si="0"/>
        <v>9.556313993174062E-2</v>
      </c>
      <c r="S20" s="125" t="s">
        <v>140</v>
      </c>
      <c r="T20" s="126">
        <v>46161</v>
      </c>
      <c r="U20" s="126">
        <f>T20+2</f>
        <v>46163</v>
      </c>
      <c r="V20" s="117">
        <v>30</v>
      </c>
      <c r="W20" s="126">
        <f>V20+U20</f>
        <v>46193</v>
      </c>
      <c r="X20" s="118">
        <v>46203</v>
      </c>
      <c r="Y20" s="129"/>
      <c r="Z20" s="120" t="s">
        <v>265</v>
      </c>
    </row>
    <row r="21" spans="2:26" s="125" customFormat="1" x14ac:dyDescent="0.35">
      <c r="B21" s="117">
        <v>10</v>
      </c>
      <c r="C21" s="118" t="s">
        <v>266</v>
      </c>
      <c r="D21" s="119" t="s">
        <v>74</v>
      </c>
      <c r="E21" s="117" t="s">
        <v>274</v>
      </c>
      <c r="F21" s="117" t="s">
        <v>127</v>
      </c>
      <c r="G21" s="120"/>
      <c r="H21" s="117" t="s">
        <v>55</v>
      </c>
      <c r="I21" s="117" t="s">
        <v>75</v>
      </c>
      <c r="J21" s="117" t="s">
        <v>76</v>
      </c>
      <c r="K21" s="117" t="s">
        <v>79</v>
      </c>
      <c r="L21" s="117" t="s">
        <v>84</v>
      </c>
      <c r="M21" s="117" t="s">
        <v>88</v>
      </c>
      <c r="N21" s="126">
        <v>46130</v>
      </c>
      <c r="O21" s="123">
        <v>36000000</v>
      </c>
      <c r="P21" s="123">
        <v>33100000</v>
      </c>
      <c r="Q21" s="116">
        <f t="shared" si="1"/>
        <v>2900000</v>
      </c>
      <c r="R21" s="124">
        <f t="shared" si="0"/>
        <v>8.0555555555555561E-2</v>
      </c>
      <c r="S21" s="125" t="s">
        <v>140</v>
      </c>
      <c r="T21" s="126">
        <v>46161</v>
      </c>
      <c r="U21" s="126">
        <f>T21+2</f>
        <v>46163</v>
      </c>
      <c r="V21" s="117">
        <v>30</v>
      </c>
      <c r="W21" s="126">
        <f t="shared" si="2"/>
        <v>46193</v>
      </c>
      <c r="X21" s="118">
        <v>46196</v>
      </c>
      <c r="Y21" s="129"/>
      <c r="Z21" s="120" t="s">
        <v>263</v>
      </c>
    </row>
    <row r="22" spans="2:26" s="125" customFormat="1" x14ac:dyDescent="0.35">
      <c r="B22" s="117">
        <v>11</v>
      </c>
      <c r="C22" s="118" t="s">
        <v>266</v>
      </c>
      <c r="D22" s="119" t="s">
        <v>89</v>
      </c>
      <c r="E22" s="117" t="s">
        <v>274</v>
      </c>
      <c r="F22" s="117" t="s">
        <v>127</v>
      </c>
      <c r="G22" s="120"/>
      <c r="H22" s="117" t="s">
        <v>90</v>
      </c>
      <c r="I22" s="117" t="s">
        <v>59</v>
      </c>
      <c r="J22" s="117" t="s">
        <v>77</v>
      </c>
      <c r="K22" s="117" t="s">
        <v>54</v>
      </c>
      <c r="L22" s="117" t="s">
        <v>84</v>
      </c>
      <c r="M22" s="117"/>
      <c r="N22" s="126"/>
      <c r="O22" s="123">
        <f>'[1]04-011'!$E$16</f>
        <v>21200000</v>
      </c>
      <c r="P22" s="123">
        <v>18500000</v>
      </c>
      <c r="Q22" s="116">
        <f t="shared" si="1"/>
        <v>2700000</v>
      </c>
      <c r="R22" s="124">
        <f t="shared" si="0"/>
        <v>0.12735849056603774</v>
      </c>
      <c r="S22" s="125" t="s">
        <v>140</v>
      </c>
      <c r="T22" s="126">
        <v>46153</v>
      </c>
      <c r="U22" s="126">
        <v>46154</v>
      </c>
      <c r="V22" s="117">
        <v>30</v>
      </c>
      <c r="W22" s="126">
        <f t="shared" si="2"/>
        <v>46184</v>
      </c>
      <c r="X22" s="118">
        <v>46185</v>
      </c>
      <c r="Y22" s="129">
        <v>21200000</v>
      </c>
      <c r="Z22" s="120" t="s">
        <v>218</v>
      </c>
    </row>
    <row r="23" spans="2:26" x14ac:dyDescent="0.35">
      <c r="B23" s="7"/>
      <c r="C23" s="24"/>
      <c r="D23" s="15"/>
      <c r="E23" s="6"/>
      <c r="F23" s="6"/>
      <c r="G23" s="6"/>
      <c r="H23" s="48"/>
      <c r="I23" s="47"/>
      <c r="J23" s="47"/>
      <c r="K23" s="47"/>
      <c r="L23" s="7"/>
      <c r="M23" s="7"/>
      <c r="N23" s="45"/>
      <c r="O23" s="16"/>
      <c r="P23" s="16"/>
      <c r="Q23" s="38"/>
      <c r="R23" s="39"/>
      <c r="T23" s="45"/>
      <c r="U23" s="45"/>
      <c r="V23" s="7"/>
      <c r="W23" s="45"/>
      <c r="X23" s="24"/>
      <c r="Y23" s="16"/>
      <c r="Z23" s="6"/>
    </row>
    <row r="24" spans="2:26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1" t="s">
        <v>69</v>
      </c>
      <c r="O24" s="82">
        <f>SUM(O12:O22)</f>
        <v>280500000</v>
      </c>
      <c r="P24" s="82">
        <f>SUM(P12:P23)</f>
        <v>242750000</v>
      </c>
      <c r="Q24" s="83">
        <f>SUM(Q12:Q23)</f>
        <v>37750000</v>
      </c>
      <c r="R24" s="84"/>
      <c r="T24" s="7"/>
      <c r="U24" s="7"/>
      <c r="V24" s="7"/>
      <c r="W24" s="58"/>
      <c r="X24" s="49"/>
      <c r="Y24" s="16"/>
      <c r="Z24" s="6"/>
    </row>
    <row r="25" spans="2:26" x14ac:dyDescent="0.35">
      <c r="B25" s="6"/>
      <c r="C25" s="54" t="s">
        <v>93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8"/>
      <c r="O25" s="55"/>
      <c r="P25" s="55"/>
      <c r="Q25" s="22"/>
      <c r="R25" s="6"/>
      <c r="S25" s="77"/>
      <c r="T25" s="7"/>
      <c r="U25" s="7"/>
      <c r="V25" s="7"/>
      <c r="W25" s="45"/>
      <c r="X25" s="49"/>
      <c r="Y25" s="16"/>
      <c r="Z25" s="6"/>
    </row>
    <row r="26" spans="2:26" s="125" customFormat="1" x14ac:dyDescent="0.35">
      <c r="B26" s="117">
        <v>1</v>
      </c>
      <c r="C26" s="120"/>
      <c r="D26" s="119" t="s">
        <v>94</v>
      </c>
      <c r="E26" s="117" t="s">
        <v>274</v>
      </c>
      <c r="F26" s="117" t="s">
        <v>127</v>
      </c>
      <c r="G26" s="117"/>
      <c r="H26" s="117" t="s">
        <v>58</v>
      </c>
      <c r="I26" s="117" t="s">
        <v>59</v>
      </c>
      <c r="J26" s="117" t="s">
        <v>92</v>
      </c>
      <c r="K26" s="117" t="s">
        <v>54</v>
      </c>
      <c r="L26" s="117" t="s">
        <v>82</v>
      </c>
      <c r="M26" s="117" t="s">
        <v>95</v>
      </c>
      <c r="N26" s="122">
        <v>38843</v>
      </c>
      <c r="O26" s="130">
        <v>20000000</v>
      </c>
      <c r="P26" s="130">
        <v>18000000</v>
      </c>
      <c r="Q26" s="116">
        <f t="shared" ref="Q26:Q45" si="3">O26-P26</f>
        <v>2000000</v>
      </c>
      <c r="R26" s="124">
        <f t="shared" ref="R26:R45" si="4">Q26/O26</f>
        <v>0.1</v>
      </c>
      <c r="S26" s="125" t="s">
        <v>140</v>
      </c>
      <c r="T26" s="126">
        <v>46177</v>
      </c>
      <c r="U26" s="126">
        <f>T26+1</f>
        <v>46178</v>
      </c>
      <c r="V26" s="117">
        <v>30</v>
      </c>
      <c r="W26" s="126">
        <f>(U26+V26)+3</f>
        <v>46211</v>
      </c>
      <c r="X26" s="131"/>
      <c r="Y26" s="129"/>
      <c r="Z26" s="120"/>
    </row>
    <row r="27" spans="2:26" s="125" customFormat="1" x14ac:dyDescent="0.35">
      <c r="B27" s="117">
        <v>2</v>
      </c>
      <c r="C27" s="118" t="s">
        <v>266</v>
      </c>
      <c r="D27" s="119" t="s">
        <v>96</v>
      </c>
      <c r="E27" s="117" t="s">
        <v>274</v>
      </c>
      <c r="F27" s="117" t="s">
        <v>127</v>
      </c>
      <c r="G27" s="117"/>
      <c r="H27" s="117" t="s">
        <v>56</v>
      </c>
      <c r="I27" s="117" t="s">
        <v>59</v>
      </c>
      <c r="J27" s="117" t="s">
        <v>61</v>
      </c>
      <c r="K27" s="121" t="s">
        <v>54</v>
      </c>
      <c r="L27" s="117" t="s">
        <v>63</v>
      </c>
      <c r="M27" s="117" t="s">
        <v>97</v>
      </c>
      <c r="N27" s="122">
        <v>38840</v>
      </c>
      <c r="O27" s="130">
        <f>'[2]05-002'!$E$16</f>
        <v>16500000</v>
      </c>
      <c r="P27" s="130">
        <v>14000000</v>
      </c>
      <c r="Q27" s="116">
        <f t="shared" si="3"/>
        <v>2500000</v>
      </c>
      <c r="R27" s="124">
        <f t="shared" si="4"/>
        <v>0.15151515151515152</v>
      </c>
      <c r="S27" s="125" t="s">
        <v>140</v>
      </c>
      <c r="T27" s="126">
        <v>46177</v>
      </c>
      <c r="U27" s="126">
        <f>T27+1</f>
        <v>46178</v>
      </c>
      <c r="V27" s="117">
        <v>30</v>
      </c>
      <c r="W27" s="126">
        <f>(U27+V27)+3</f>
        <v>46211</v>
      </c>
      <c r="X27" s="118">
        <v>46213</v>
      </c>
      <c r="Y27" s="129"/>
      <c r="Z27" s="120" t="s">
        <v>219</v>
      </c>
    </row>
    <row r="28" spans="2:26" s="125" customFormat="1" x14ac:dyDescent="0.35">
      <c r="B28" s="117">
        <v>3</v>
      </c>
      <c r="C28" s="120"/>
      <c r="D28" s="119" t="s">
        <v>98</v>
      </c>
      <c r="E28" s="117" t="s">
        <v>274</v>
      </c>
      <c r="F28" s="117" t="s">
        <v>127</v>
      </c>
      <c r="G28" s="120"/>
      <c r="H28" s="117" t="s">
        <v>55</v>
      </c>
      <c r="I28" s="119" t="s">
        <v>75</v>
      </c>
      <c r="J28" s="117" t="s">
        <v>99</v>
      </c>
      <c r="K28" s="117" t="s">
        <v>79</v>
      </c>
      <c r="L28" s="117" t="s">
        <v>100</v>
      </c>
      <c r="M28" s="117" t="s">
        <v>101</v>
      </c>
      <c r="N28" s="122">
        <v>46146</v>
      </c>
      <c r="O28" s="130">
        <v>38000000</v>
      </c>
      <c r="P28" s="130">
        <v>33000000</v>
      </c>
      <c r="Q28" s="116">
        <f t="shared" si="3"/>
        <v>5000000</v>
      </c>
      <c r="R28" s="124">
        <f t="shared" si="4"/>
        <v>0.13157894736842105</v>
      </c>
      <c r="S28" s="125" t="s">
        <v>140</v>
      </c>
      <c r="T28" s="126">
        <v>46206</v>
      </c>
      <c r="U28" s="117"/>
      <c r="V28" s="117"/>
      <c r="W28" s="126"/>
      <c r="X28" s="131"/>
      <c r="Y28" s="129"/>
      <c r="Z28" s="120"/>
    </row>
    <row r="29" spans="2:26" s="125" customFormat="1" x14ac:dyDescent="0.35">
      <c r="B29" s="117">
        <v>4</v>
      </c>
      <c r="C29" s="118" t="s">
        <v>266</v>
      </c>
      <c r="D29" s="119" t="s">
        <v>102</v>
      </c>
      <c r="E29" s="117" t="s">
        <v>274</v>
      </c>
      <c r="F29" s="117" t="s">
        <v>127</v>
      </c>
      <c r="G29" s="120"/>
      <c r="H29" s="117" t="s">
        <v>90</v>
      </c>
      <c r="I29" s="117" t="s">
        <v>59</v>
      </c>
      <c r="J29" s="117" t="s">
        <v>60</v>
      </c>
      <c r="K29" s="117" t="s">
        <v>103</v>
      </c>
      <c r="L29" s="117" t="s">
        <v>65</v>
      </c>
      <c r="M29" s="117" t="s">
        <v>105</v>
      </c>
      <c r="N29" s="122">
        <v>46147</v>
      </c>
      <c r="O29" s="130">
        <f>'[2]05-004'!$G$16</f>
        <v>41000000</v>
      </c>
      <c r="P29" s="130">
        <v>36000000</v>
      </c>
      <c r="Q29" s="116">
        <f t="shared" si="3"/>
        <v>5000000</v>
      </c>
      <c r="R29" s="124">
        <f t="shared" si="4"/>
        <v>0.12195121951219512</v>
      </c>
      <c r="S29" s="125" t="s">
        <v>140</v>
      </c>
      <c r="T29" s="126">
        <v>46168</v>
      </c>
      <c r="U29" s="126">
        <v>46168</v>
      </c>
      <c r="V29" s="117">
        <v>30</v>
      </c>
      <c r="W29" s="126">
        <f>U29+V29</f>
        <v>46198</v>
      </c>
      <c r="X29" s="131">
        <v>46206</v>
      </c>
      <c r="Y29" s="129"/>
      <c r="Z29" s="120" t="s">
        <v>273</v>
      </c>
    </row>
    <row r="30" spans="2:26" s="125" customFormat="1" x14ac:dyDescent="0.35">
      <c r="B30" s="117">
        <v>5</v>
      </c>
      <c r="C30" s="120"/>
      <c r="D30" s="119" t="s">
        <v>106</v>
      </c>
      <c r="E30" s="117" t="s">
        <v>274</v>
      </c>
      <c r="F30" s="117" t="s">
        <v>127</v>
      </c>
      <c r="G30" s="120"/>
      <c r="H30" s="117" t="s">
        <v>107</v>
      </c>
      <c r="I30" s="117" t="s">
        <v>59</v>
      </c>
      <c r="J30" s="117" t="s">
        <v>108</v>
      </c>
      <c r="K30" s="117" t="s">
        <v>110</v>
      </c>
      <c r="L30" s="117" t="s">
        <v>64</v>
      </c>
      <c r="M30" s="117" t="s">
        <v>109</v>
      </c>
      <c r="N30" s="122">
        <v>46149</v>
      </c>
      <c r="O30" s="130">
        <f>'[2]05-005'!$E$16</f>
        <v>24300000</v>
      </c>
      <c r="P30" s="130">
        <v>22000000</v>
      </c>
      <c r="Q30" s="116">
        <f t="shared" si="3"/>
        <v>2300000</v>
      </c>
      <c r="R30" s="124">
        <f t="shared" si="4"/>
        <v>9.4650205761316872E-2</v>
      </c>
      <c r="S30" s="125" t="s">
        <v>140</v>
      </c>
      <c r="T30" s="126">
        <v>46206</v>
      </c>
      <c r="U30" s="117"/>
      <c r="V30" s="117"/>
      <c r="W30" s="126"/>
      <c r="X30" s="131"/>
      <c r="Y30" s="129"/>
      <c r="Z30" s="120"/>
    </row>
    <row r="31" spans="2:26" s="125" customFormat="1" x14ac:dyDescent="0.35">
      <c r="B31" s="117">
        <v>6</v>
      </c>
      <c r="C31" s="120"/>
      <c r="D31" s="119" t="s">
        <v>111</v>
      </c>
      <c r="E31" s="117" t="s">
        <v>274</v>
      </c>
      <c r="F31" s="117" t="s">
        <v>127</v>
      </c>
      <c r="G31" s="120"/>
      <c r="H31" s="117" t="s">
        <v>56</v>
      </c>
      <c r="I31" s="117" t="s">
        <v>59</v>
      </c>
      <c r="J31" s="117" t="s">
        <v>61</v>
      </c>
      <c r="K31" s="121" t="s">
        <v>103</v>
      </c>
      <c r="L31" s="117" t="s">
        <v>63</v>
      </c>
      <c r="M31" s="117" t="s">
        <v>130</v>
      </c>
      <c r="N31" s="122">
        <v>46153</v>
      </c>
      <c r="O31" s="130">
        <f>'[2]05-006'!$G$16</f>
        <v>33000000</v>
      </c>
      <c r="P31" s="130">
        <v>29500000</v>
      </c>
      <c r="Q31" s="116">
        <f t="shared" si="3"/>
        <v>3500000</v>
      </c>
      <c r="R31" s="124">
        <f t="shared" si="4"/>
        <v>0.10606060606060606</v>
      </c>
      <c r="S31" s="125" t="s">
        <v>140</v>
      </c>
      <c r="T31" s="126">
        <v>46184</v>
      </c>
      <c r="U31" s="126">
        <f>T31+1</f>
        <v>46185</v>
      </c>
      <c r="V31" s="117">
        <v>30</v>
      </c>
      <c r="W31" s="126">
        <f>(U31+V31)+3</f>
        <v>46218</v>
      </c>
      <c r="X31" s="131"/>
      <c r="Y31" s="129"/>
      <c r="Z31" s="120"/>
    </row>
    <row r="32" spans="2:26" s="125" customFormat="1" x14ac:dyDescent="0.35">
      <c r="B32" s="117">
        <v>7</v>
      </c>
      <c r="C32" s="120"/>
      <c r="D32" s="119" t="s">
        <v>129</v>
      </c>
      <c r="E32" s="117" t="s">
        <v>274</v>
      </c>
      <c r="F32" s="117" t="s">
        <v>127</v>
      </c>
      <c r="G32" s="120"/>
      <c r="H32" s="117" t="s">
        <v>55</v>
      </c>
      <c r="I32" s="119" t="s">
        <v>75</v>
      </c>
      <c r="J32" s="117" t="s">
        <v>108</v>
      </c>
      <c r="K32" s="117" t="s">
        <v>79</v>
      </c>
      <c r="L32" s="117" t="s">
        <v>100</v>
      </c>
      <c r="M32" s="117" t="s">
        <v>131</v>
      </c>
      <c r="N32" s="122">
        <v>46154</v>
      </c>
      <c r="O32" s="130">
        <v>36000000</v>
      </c>
      <c r="P32" s="130">
        <v>33000000</v>
      </c>
      <c r="Q32" s="116">
        <f t="shared" si="3"/>
        <v>3000000</v>
      </c>
      <c r="R32" s="124">
        <f t="shared" si="4"/>
        <v>8.3333333333333329E-2</v>
      </c>
      <c r="S32" s="125" t="s">
        <v>140</v>
      </c>
      <c r="T32" s="126">
        <v>46206</v>
      </c>
      <c r="U32" s="117"/>
      <c r="V32" s="117"/>
      <c r="W32" s="126"/>
      <c r="X32" s="131"/>
      <c r="Y32" s="129"/>
      <c r="Z32" s="120"/>
    </row>
    <row r="33" spans="2:26" s="125" customFormat="1" x14ac:dyDescent="0.35">
      <c r="B33" s="117">
        <v>8</v>
      </c>
      <c r="C33" s="120"/>
      <c r="D33" s="119" t="s">
        <v>133</v>
      </c>
      <c r="E33" s="117" t="s">
        <v>274</v>
      </c>
      <c r="F33" s="117" t="s">
        <v>127</v>
      </c>
      <c r="G33" s="120"/>
      <c r="H33" s="117" t="s">
        <v>56</v>
      </c>
      <c r="I33" s="117" t="s">
        <v>59</v>
      </c>
      <c r="J33" s="117" t="s">
        <v>61</v>
      </c>
      <c r="K33" s="121" t="s">
        <v>83</v>
      </c>
      <c r="L33" s="117" t="s">
        <v>64</v>
      </c>
      <c r="M33" s="117" t="s">
        <v>134</v>
      </c>
      <c r="N33" s="122">
        <v>46160</v>
      </c>
      <c r="O33" s="130">
        <f>'[2]05-008'!$F$16</f>
        <v>49500000</v>
      </c>
      <c r="P33" s="130">
        <v>44000000</v>
      </c>
      <c r="Q33" s="116">
        <f t="shared" si="3"/>
        <v>5500000</v>
      </c>
      <c r="R33" s="124">
        <f t="shared" si="4"/>
        <v>0.1111111111111111</v>
      </c>
      <c r="S33" s="125" t="s">
        <v>140</v>
      </c>
      <c r="T33" s="126">
        <v>46190</v>
      </c>
      <c r="U33" s="126">
        <f>T33+1</f>
        <v>46191</v>
      </c>
      <c r="V33" s="117">
        <v>30</v>
      </c>
      <c r="W33" s="126">
        <v>46224</v>
      </c>
      <c r="X33" s="131"/>
      <c r="Y33" s="129"/>
      <c r="Z33" s="120"/>
    </row>
    <row r="34" spans="2:26" s="125" customFormat="1" x14ac:dyDescent="0.35">
      <c r="B34" s="117">
        <v>9</v>
      </c>
      <c r="C34" s="120"/>
      <c r="D34" s="119" t="s">
        <v>135</v>
      </c>
      <c r="E34" s="117" t="s">
        <v>274</v>
      </c>
      <c r="F34" s="117" t="s">
        <v>127</v>
      </c>
      <c r="G34" s="120"/>
      <c r="H34" s="117" t="s">
        <v>55</v>
      </c>
      <c r="I34" s="119" t="s">
        <v>75</v>
      </c>
      <c r="J34" s="117" t="s">
        <v>136</v>
      </c>
      <c r="K34" s="117" t="s">
        <v>79</v>
      </c>
      <c r="L34" s="117" t="s">
        <v>100</v>
      </c>
      <c r="M34" s="117" t="s">
        <v>131</v>
      </c>
      <c r="N34" s="122">
        <v>46154</v>
      </c>
      <c r="O34" s="130">
        <v>41500000</v>
      </c>
      <c r="P34" s="130">
        <v>39000000</v>
      </c>
      <c r="Q34" s="116">
        <f t="shared" si="3"/>
        <v>2500000</v>
      </c>
      <c r="R34" s="124">
        <f t="shared" si="4"/>
        <v>6.0240963855421686E-2</v>
      </c>
      <c r="S34" s="125" t="s">
        <v>140</v>
      </c>
      <c r="T34" s="126">
        <v>46203</v>
      </c>
      <c r="U34" s="117"/>
      <c r="V34" s="117"/>
      <c r="W34" s="126"/>
      <c r="X34" s="131"/>
      <c r="Y34" s="129"/>
      <c r="Z34" s="120"/>
    </row>
    <row r="35" spans="2:26" s="125" customFormat="1" x14ac:dyDescent="0.35">
      <c r="B35" s="117">
        <v>10</v>
      </c>
      <c r="C35" s="120"/>
      <c r="D35" s="119" t="s">
        <v>137</v>
      </c>
      <c r="E35" s="117" t="s">
        <v>274</v>
      </c>
      <c r="F35" s="117" t="s">
        <v>127</v>
      </c>
      <c r="G35" s="120"/>
      <c r="H35" s="117" t="s">
        <v>58</v>
      </c>
      <c r="I35" s="117" t="s">
        <v>59</v>
      </c>
      <c r="J35" s="117" t="s">
        <v>138</v>
      </c>
      <c r="K35" s="117" t="s">
        <v>54</v>
      </c>
      <c r="L35" s="117" t="s">
        <v>65</v>
      </c>
      <c r="M35" s="117" t="s">
        <v>162</v>
      </c>
      <c r="N35" s="122">
        <v>46161</v>
      </c>
      <c r="O35" s="130">
        <f>'[2]05-010'!$E$16</f>
        <v>29300000</v>
      </c>
      <c r="P35" s="130">
        <v>25600000</v>
      </c>
      <c r="Q35" s="116">
        <f t="shared" si="3"/>
        <v>3700000</v>
      </c>
      <c r="R35" s="124">
        <f t="shared" si="4"/>
        <v>0.12627986348122866</v>
      </c>
      <c r="S35" s="125" t="s">
        <v>140</v>
      </c>
      <c r="T35" s="126">
        <v>46184</v>
      </c>
      <c r="U35" s="126">
        <f>T35+1</f>
        <v>46185</v>
      </c>
      <c r="V35" s="117">
        <v>30</v>
      </c>
      <c r="W35" s="126">
        <v>46224</v>
      </c>
      <c r="X35" s="131"/>
      <c r="Y35" s="129"/>
      <c r="Z35" s="120"/>
    </row>
    <row r="36" spans="2:26" s="125" customFormat="1" x14ac:dyDescent="0.35">
      <c r="B36" s="117">
        <v>11</v>
      </c>
      <c r="C36" s="118" t="s">
        <v>266</v>
      </c>
      <c r="D36" s="119" t="s">
        <v>139</v>
      </c>
      <c r="E36" s="117" t="s">
        <v>274</v>
      </c>
      <c r="F36" s="117" t="s">
        <v>127</v>
      </c>
      <c r="G36" s="120"/>
      <c r="H36" s="117" t="s">
        <v>55</v>
      </c>
      <c r="I36" s="119" t="s">
        <v>75</v>
      </c>
      <c r="J36" s="117" t="s">
        <v>59</v>
      </c>
      <c r="K36" s="117" t="s">
        <v>79</v>
      </c>
      <c r="L36" s="117" t="s">
        <v>82</v>
      </c>
      <c r="M36" s="117" t="s">
        <v>151</v>
      </c>
      <c r="N36" s="122">
        <v>46159</v>
      </c>
      <c r="O36" s="130">
        <v>17800000</v>
      </c>
      <c r="P36" s="130">
        <v>16000000</v>
      </c>
      <c r="Q36" s="116">
        <f t="shared" si="3"/>
        <v>1800000</v>
      </c>
      <c r="R36" s="124">
        <f t="shared" si="4"/>
        <v>0.10112359550561797</v>
      </c>
      <c r="S36" s="125" t="s">
        <v>140</v>
      </c>
      <c r="T36" s="126">
        <v>46177</v>
      </c>
      <c r="U36" s="126">
        <f>T36+1</f>
        <v>46178</v>
      </c>
      <c r="V36" s="117">
        <v>30</v>
      </c>
      <c r="W36" s="126">
        <v>46224</v>
      </c>
      <c r="X36" s="131">
        <v>46209</v>
      </c>
      <c r="Y36" s="129"/>
      <c r="Z36" s="120" t="s">
        <v>219</v>
      </c>
    </row>
    <row r="37" spans="2:26" s="125" customFormat="1" x14ac:dyDescent="0.35">
      <c r="B37" s="117">
        <v>12</v>
      </c>
      <c r="C37" s="120"/>
      <c r="D37" s="119" t="s">
        <v>144</v>
      </c>
      <c r="E37" s="117" t="s">
        <v>274</v>
      </c>
      <c r="F37" s="117" t="s">
        <v>127</v>
      </c>
      <c r="G37" s="120"/>
      <c r="H37" s="117" t="s">
        <v>55</v>
      </c>
      <c r="I37" s="119" t="s">
        <v>75</v>
      </c>
      <c r="J37" s="117" t="s">
        <v>76</v>
      </c>
      <c r="K37" s="117" t="s">
        <v>79</v>
      </c>
      <c r="L37" s="117" t="s">
        <v>84</v>
      </c>
      <c r="M37" s="117" t="s">
        <v>152</v>
      </c>
      <c r="N37" s="122">
        <v>46157</v>
      </c>
      <c r="O37" s="130">
        <v>37000000</v>
      </c>
      <c r="P37" s="130">
        <v>33300000</v>
      </c>
      <c r="Q37" s="116">
        <f t="shared" si="3"/>
        <v>3700000</v>
      </c>
      <c r="R37" s="124">
        <f t="shared" si="4"/>
        <v>0.1</v>
      </c>
      <c r="S37" s="125" t="s">
        <v>140</v>
      </c>
      <c r="T37" s="126">
        <v>46190</v>
      </c>
      <c r="U37" s="126">
        <f>T37+1</f>
        <v>46191</v>
      </c>
      <c r="V37" s="117">
        <v>30</v>
      </c>
      <c r="W37" s="126">
        <v>46224</v>
      </c>
      <c r="X37" s="131"/>
      <c r="Y37" s="129"/>
      <c r="Z37" s="120"/>
    </row>
    <row r="38" spans="2:26" s="125" customFormat="1" x14ac:dyDescent="0.35">
      <c r="B38" s="117">
        <v>13</v>
      </c>
      <c r="C38" s="120"/>
      <c r="D38" s="119" t="s">
        <v>145</v>
      </c>
      <c r="E38" s="117" t="s">
        <v>274</v>
      </c>
      <c r="F38" s="117" t="s">
        <v>127</v>
      </c>
      <c r="G38" s="120"/>
      <c r="H38" s="117" t="s">
        <v>58</v>
      </c>
      <c r="I38" s="117" t="s">
        <v>59</v>
      </c>
      <c r="J38" s="117" t="s">
        <v>138</v>
      </c>
      <c r="K38" s="117" t="s">
        <v>54</v>
      </c>
      <c r="L38" s="117" t="s">
        <v>65</v>
      </c>
      <c r="M38" s="117" t="s">
        <v>162</v>
      </c>
      <c r="N38" s="122">
        <v>46161</v>
      </c>
      <c r="O38" s="130">
        <f>'[2]05-013'!$E$16</f>
        <v>29300000</v>
      </c>
      <c r="P38" s="130">
        <v>25800000</v>
      </c>
      <c r="Q38" s="116">
        <f t="shared" si="3"/>
        <v>3500000</v>
      </c>
      <c r="R38" s="124">
        <f t="shared" si="4"/>
        <v>0.11945392491467577</v>
      </c>
      <c r="S38" s="125" t="s">
        <v>140</v>
      </c>
      <c r="T38" s="126">
        <v>46184</v>
      </c>
      <c r="U38" s="126">
        <f>T38+1</f>
        <v>46185</v>
      </c>
      <c r="V38" s="117">
        <v>30</v>
      </c>
      <c r="W38" s="126">
        <v>46224</v>
      </c>
      <c r="X38" s="131"/>
      <c r="Y38" s="129"/>
      <c r="Z38" s="120"/>
    </row>
    <row r="39" spans="2:26" s="125" customFormat="1" x14ac:dyDescent="0.35">
      <c r="B39" s="117">
        <v>14</v>
      </c>
      <c r="C39" s="120"/>
      <c r="D39" s="119" t="s">
        <v>146</v>
      </c>
      <c r="E39" s="117" t="s">
        <v>274</v>
      </c>
      <c r="F39" s="117" t="s">
        <v>127</v>
      </c>
      <c r="G39" s="120"/>
      <c r="H39" s="117" t="s">
        <v>55</v>
      </c>
      <c r="I39" s="119" t="s">
        <v>75</v>
      </c>
      <c r="J39" s="117" t="s">
        <v>147</v>
      </c>
      <c r="K39" s="117" t="s">
        <v>79</v>
      </c>
      <c r="L39" s="117" t="s">
        <v>82</v>
      </c>
      <c r="M39" s="117" t="s">
        <v>151</v>
      </c>
      <c r="N39" s="122">
        <v>46159</v>
      </c>
      <c r="O39" s="130">
        <v>39500000</v>
      </c>
      <c r="P39" s="130">
        <v>35500000</v>
      </c>
      <c r="Q39" s="116">
        <f t="shared" si="3"/>
        <v>4000000</v>
      </c>
      <c r="R39" s="124">
        <f t="shared" si="4"/>
        <v>0.10126582278481013</v>
      </c>
      <c r="T39" s="117"/>
      <c r="U39" s="117"/>
      <c r="V39" s="117"/>
      <c r="W39" s="126"/>
      <c r="X39" s="131"/>
      <c r="Y39" s="120"/>
      <c r="Z39" s="120"/>
    </row>
    <row r="40" spans="2:26" s="125" customFormat="1" x14ac:dyDescent="0.35">
      <c r="B40" s="117">
        <v>15</v>
      </c>
      <c r="C40" s="120"/>
      <c r="D40" s="119" t="s">
        <v>148</v>
      </c>
      <c r="E40" s="117" t="s">
        <v>274</v>
      </c>
      <c r="F40" s="117" t="s">
        <v>127</v>
      </c>
      <c r="G40" s="120"/>
      <c r="H40" s="117" t="s">
        <v>55</v>
      </c>
      <c r="I40" s="119" t="s">
        <v>75</v>
      </c>
      <c r="J40" s="117" t="s">
        <v>99</v>
      </c>
      <c r="K40" s="117" t="s">
        <v>79</v>
      </c>
      <c r="L40" s="117" t="s">
        <v>100</v>
      </c>
      <c r="M40" s="117" t="s">
        <v>150</v>
      </c>
      <c r="N40" s="122">
        <v>46160</v>
      </c>
      <c r="O40" s="130">
        <v>37500000</v>
      </c>
      <c r="P40" s="130">
        <v>31400000</v>
      </c>
      <c r="Q40" s="116">
        <f t="shared" si="3"/>
        <v>6100000</v>
      </c>
      <c r="R40" s="124">
        <f t="shared" si="4"/>
        <v>0.16266666666666665</v>
      </c>
      <c r="S40" s="125" t="s">
        <v>140</v>
      </c>
      <c r="T40" s="126">
        <v>46206</v>
      </c>
      <c r="U40" s="117"/>
      <c r="V40" s="117"/>
      <c r="W40" s="126"/>
      <c r="X40" s="131"/>
      <c r="Y40" s="120"/>
      <c r="Z40" s="120"/>
    </row>
    <row r="41" spans="2:26" s="125" customFormat="1" x14ac:dyDescent="0.35">
      <c r="B41" s="117">
        <v>16</v>
      </c>
      <c r="C41" s="120"/>
      <c r="D41" s="119" t="s">
        <v>149</v>
      </c>
      <c r="E41" s="117" t="s">
        <v>274</v>
      </c>
      <c r="F41" s="117" t="s">
        <v>127</v>
      </c>
      <c r="G41" s="120"/>
      <c r="H41" s="117" t="s">
        <v>55</v>
      </c>
      <c r="I41" s="119" t="s">
        <v>75</v>
      </c>
      <c r="J41" s="117" t="s">
        <v>108</v>
      </c>
      <c r="K41" s="117" t="s">
        <v>79</v>
      </c>
      <c r="L41" s="117" t="s">
        <v>100</v>
      </c>
      <c r="M41" s="117" t="s">
        <v>150</v>
      </c>
      <c r="N41" s="122">
        <v>46160</v>
      </c>
      <c r="O41" s="130">
        <v>39800000</v>
      </c>
      <c r="P41" s="130">
        <v>33200000</v>
      </c>
      <c r="Q41" s="116">
        <f t="shared" si="3"/>
        <v>6600000</v>
      </c>
      <c r="R41" s="124">
        <f t="shared" si="4"/>
        <v>0.16582914572864321</v>
      </c>
      <c r="S41" s="125" t="s">
        <v>140</v>
      </c>
      <c r="T41" s="126">
        <v>46206</v>
      </c>
      <c r="U41" s="117"/>
      <c r="V41" s="117"/>
      <c r="W41" s="126"/>
      <c r="X41" s="131"/>
      <c r="Y41" s="120"/>
      <c r="Z41" s="120"/>
    </row>
    <row r="42" spans="2:26" s="125" customFormat="1" x14ac:dyDescent="0.35">
      <c r="B42" s="117">
        <v>17</v>
      </c>
      <c r="C42" s="120"/>
      <c r="D42" s="119" t="s">
        <v>155</v>
      </c>
      <c r="E42" s="117" t="s">
        <v>274</v>
      </c>
      <c r="F42" s="117" t="s">
        <v>127</v>
      </c>
      <c r="G42" s="120"/>
      <c r="H42" s="117" t="s">
        <v>153</v>
      </c>
      <c r="I42" s="117" t="s">
        <v>76</v>
      </c>
      <c r="J42" s="117" t="s">
        <v>61</v>
      </c>
      <c r="K42" s="117" t="s">
        <v>54</v>
      </c>
      <c r="L42" s="117" t="s">
        <v>82</v>
      </c>
      <c r="M42" s="117" t="s">
        <v>154</v>
      </c>
      <c r="N42" s="122">
        <v>46160</v>
      </c>
      <c r="O42" s="130">
        <v>21200000</v>
      </c>
      <c r="P42" s="130">
        <v>19000000</v>
      </c>
      <c r="Q42" s="116">
        <f t="shared" si="3"/>
        <v>2200000</v>
      </c>
      <c r="R42" s="124">
        <f t="shared" si="4"/>
        <v>0.10377358490566038</v>
      </c>
      <c r="S42" s="125" t="s">
        <v>140</v>
      </c>
      <c r="T42" s="126">
        <v>46190</v>
      </c>
      <c r="U42" s="126">
        <f>T42+1</f>
        <v>46191</v>
      </c>
      <c r="V42" s="117">
        <v>30</v>
      </c>
      <c r="W42" s="126">
        <v>46224</v>
      </c>
      <c r="X42" s="131"/>
      <c r="Y42" s="120"/>
      <c r="Z42" s="120"/>
    </row>
    <row r="43" spans="2:26" s="125" customFormat="1" x14ac:dyDescent="0.35">
      <c r="B43" s="117">
        <v>18</v>
      </c>
      <c r="C43" s="120"/>
      <c r="D43" s="119" t="s">
        <v>156</v>
      </c>
      <c r="E43" s="117" t="s">
        <v>274</v>
      </c>
      <c r="F43" s="117" t="s">
        <v>127</v>
      </c>
      <c r="G43" s="120"/>
      <c r="H43" s="117" t="s">
        <v>55</v>
      </c>
      <c r="I43" s="119" t="s">
        <v>75</v>
      </c>
      <c r="J43" s="117" t="s">
        <v>76</v>
      </c>
      <c r="K43" s="117" t="s">
        <v>79</v>
      </c>
      <c r="L43" s="117" t="s">
        <v>84</v>
      </c>
      <c r="M43" s="117" t="s">
        <v>159</v>
      </c>
      <c r="N43" s="122"/>
      <c r="O43" s="130">
        <v>37500000</v>
      </c>
      <c r="P43" s="130">
        <v>33500000</v>
      </c>
      <c r="Q43" s="116">
        <f t="shared" si="3"/>
        <v>4000000</v>
      </c>
      <c r="R43" s="124">
        <f t="shared" si="4"/>
        <v>0.10666666666666667</v>
      </c>
      <c r="S43" s="125" t="s">
        <v>140</v>
      </c>
      <c r="T43" s="126">
        <v>46190</v>
      </c>
      <c r="U43" s="126">
        <f>T43+1</f>
        <v>46191</v>
      </c>
      <c r="V43" s="117">
        <v>30</v>
      </c>
      <c r="W43" s="126">
        <v>46224</v>
      </c>
      <c r="X43" s="131"/>
      <c r="Y43" s="120"/>
      <c r="Z43" s="120"/>
    </row>
    <row r="44" spans="2:26" s="125" customFormat="1" x14ac:dyDescent="0.35">
      <c r="B44" s="117">
        <v>19</v>
      </c>
      <c r="C44" s="118" t="s">
        <v>266</v>
      </c>
      <c r="D44" s="119" t="s">
        <v>158</v>
      </c>
      <c r="E44" s="117" t="s">
        <v>274</v>
      </c>
      <c r="F44" s="117" t="s">
        <v>127</v>
      </c>
      <c r="G44" s="120"/>
      <c r="H44" s="117" t="s">
        <v>55</v>
      </c>
      <c r="I44" s="119" t="s">
        <v>75</v>
      </c>
      <c r="J44" s="117" t="s">
        <v>59</v>
      </c>
      <c r="K44" s="117" t="s">
        <v>79</v>
      </c>
      <c r="L44" s="117" t="s">
        <v>82</v>
      </c>
      <c r="M44" s="117" t="s">
        <v>160</v>
      </c>
      <c r="N44" s="122"/>
      <c r="O44" s="130">
        <v>17000000</v>
      </c>
      <c r="P44" s="130">
        <v>15400000</v>
      </c>
      <c r="Q44" s="116">
        <f t="shared" si="3"/>
        <v>1600000</v>
      </c>
      <c r="R44" s="124">
        <f t="shared" si="4"/>
        <v>9.4117647058823528E-2</v>
      </c>
      <c r="S44" s="125" t="s">
        <v>140</v>
      </c>
      <c r="T44" s="126">
        <v>46177</v>
      </c>
      <c r="U44" s="126">
        <f>T44+1</f>
        <v>46178</v>
      </c>
      <c r="V44" s="117">
        <v>30</v>
      </c>
      <c r="W44" s="126">
        <v>46224</v>
      </c>
      <c r="X44" s="131">
        <v>46209</v>
      </c>
      <c r="Y44" s="120"/>
      <c r="Z44" s="120"/>
    </row>
    <row r="45" spans="2:26" s="125" customFormat="1" x14ac:dyDescent="0.35">
      <c r="B45" s="117">
        <v>20</v>
      </c>
      <c r="C45" s="120"/>
      <c r="D45" s="119" t="s">
        <v>161</v>
      </c>
      <c r="E45" s="117" t="s">
        <v>274</v>
      </c>
      <c r="F45" s="117" t="s">
        <v>127</v>
      </c>
      <c r="G45" s="120"/>
      <c r="H45" s="117" t="s">
        <v>107</v>
      </c>
      <c r="I45" s="117" t="s">
        <v>59</v>
      </c>
      <c r="J45" s="117" t="s">
        <v>99</v>
      </c>
      <c r="K45" s="117" t="s">
        <v>54</v>
      </c>
      <c r="L45" s="117" t="s">
        <v>100</v>
      </c>
      <c r="M45" s="117" t="s">
        <v>157</v>
      </c>
      <c r="N45" s="122">
        <v>46164</v>
      </c>
      <c r="O45" s="130">
        <f>'[2]05-020'!$E$16</f>
        <v>24000000</v>
      </c>
      <c r="P45" s="130">
        <v>20700000</v>
      </c>
      <c r="Q45" s="116">
        <f t="shared" si="3"/>
        <v>3300000</v>
      </c>
      <c r="R45" s="124">
        <f t="shared" si="4"/>
        <v>0.13750000000000001</v>
      </c>
      <c r="S45" s="125" t="s">
        <v>140</v>
      </c>
      <c r="T45" s="126">
        <v>46196</v>
      </c>
      <c r="U45" s="126">
        <v>46197</v>
      </c>
      <c r="V45" s="117">
        <v>30</v>
      </c>
      <c r="W45" s="126">
        <f>U45+V45+3</f>
        <v>46230</v>
      </c>
      <c r="X45" s="131"/>
      <c r="Y45" s="120"/>
      <c r="Z45" s="120"/>
    </row>
    <row r="46" spans="2:26" s="125" customFormat="1" x14ac:dyDescent="0.35">
      <c r="B46" s="117"/>
      <c r="C46" s="120"/>
      <c r="D46" s="119"/>
      <c r="E46" s="117"/>
      <c r="F46" s="117"/>
      <c r="G46" s="120"/>
      <c r="H46" s="117"/>
      <c r="I46" s="117"/>
      <c r="J46" s="117"/>
      <c r="K46" s="117"/>
      <c r="L46" s="117"/>
      <c r="M46" s="117"/>
      <c r="N46" s="122"/>
      <c r="O46" s="130"/>
      <c r="P46" s="130"/>
      <c r="Q46" s="116"/>
      <c r="R46" s="124"/>
      <c r="T46" s="126"/>
      <c r="U46" s="126"/>
      <c r="V46" s="117"/>
      <c r="W46" s="126"/>
      <c r="X46" s="131"/>
      <c r="Y46" s="120"/>
      <c r="Z46" s="120"/>
    </row>
    <row r="47" spans="2:26" s="125" customFormat="1" x14ac:dyDescent="0.35">
      <c r="B47" s="117"/>
      <c r="C47" s="120"/>
      <c r="D47" s="119"/>
      <c r="E47" s="117"/>
      <c r="F47" s="117"/>
      <c r="G47" s="120"/>
      <c r="H47" s="117"/>
      <c r="I47" s="119"/>
      <c r="J47" s="117"/>
      <c r="K47" s="117"/>
      <c r="L47" s="117"/>
      <c r="M47" s="117"/>
      <c r="N47" s="122"/>
      <c r="O47" s="130"/>
      <c r="P47" s="130"/>
      <c r="Q47" s="116"/>
      <c r="R47" s="124"/>
      <c r="T47" s="126"/>
      <c r="U47" s="117"/>
      <c r="V47" s="117"/>
      <c r="W47" s="126"/>
      <c r="X47" s="131"/>
      <c r="Y47" s="120"/>
      <c r="Z47" s="120"/>
    </row>
    <row r="48" spans="2:26" s="125" customFormat="1" x14ac:dyDescent="0.35">
      <c r="B48" s="117"/>
      <c r="C48" s="120"/>
      <c r="D48" s="119"/>
      <c r="E48" s="117"/>
      <c r="F48" s="117"/>
      <c r="G48" s="120"/>
      <c r="H48" s="117"/>
      <c r="I48" s="119"/>
      <c r="J48" s="117"/>
      <c r="K48" s="117"/>
      <c r="L48" s="117"/>
      <c r="M48" s="117"/>
      <c r="N48" s="122"/>
      <c r="O48" s="130"/>
      <c r="P48" s="130"/>
      <c r="Q48" s="116"/>
      <c r="R48" s="124"/>
      <c r="T48" s="126"/>
      <c r="U48" s="117"/>
      <c r="V48" s="117"/>
      <c r="W48" s="132"/>
      <c r="X48" s="131"/>
      <c r="Y48" s="120"/>
      <c r="Z48" s="120"/>
    </row>
    <row r="49" spans="2:26" s="125" customFormat="1" x14ac:dyDescent="0.35">
      <c r="B49" s="117"/>
      <c r="C49" s="120"/>
      <c r="D49" s="119"/>
      <c r="E49" s="117"/>
      <c r="F49" s="117"/>
      <c r="G49" s="120"/>
      <c r="H49" s="117"/>
      <c r="I49" s="117"/>
      <c r="J49" s="117"/>
      <c r="K49" s="117"/>
      <c r="L49" s="117"/>
      <c r="M49" s="120"/>
      <c r="N49" s="122"/>
      <c r="O49" s="130"/>
      <c r="P49" s="130"/>
      <c r="Q49" s="116"/>
      <c r="R49" s="124"/>
      <c r="T49" s="126"/>
      <c r="U49" s="117"/>
      <c r="V49" s="117"/>
      <c r="W49" s="132"/>
      <c r="X49" s="131"/>
      <c r="Y49" s="120"/>
      <c r="Z49" s="120"/>
    </row>
    <row r="50" spans="2:26" x14ac:dyDescent="0.35">
      <c r="B50" s="7"/>
      <c r="C50" s="6"/>
      <c r="D50" s="13"/>
      <c r="E50" s="6"/>
      <c r="F50" s="6"/>
      <c r="G50" s="6"/>
      <c r="H50" s="7"/>
      <c r="I50" s="6"/>
      <c r="J50" s="6"/>
      <c r="K50" s="7"/>
      <c r="L50" s="6"/>
      <c r="M50" s="6"/>
      <c r="N50" s="8"/>
      <c r="O50" s="55"/>
      <c r="P50" s="55"/>
      <c r="Q50" s="22"/>
      <c r="R50" s="6"/>
      <c r="T50" s="7"/>
      <c r="U50" s="7"/>
      <c r="V50" s="7"/>
      <c r="W50" s="58"/>
      <c r="X50" s="49"/>
      <c r="Y50" s="6"/>
      <c r="Z50" s="6"/>
    </row>
    <row r="51" spans="2:26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1" t="s">
        <v>104</v>
      </c>
      <c r="O51" s="82">
        <f>SUM(O26:O50)</f>
        <v>629700000</v>
      </c>
      <c r="P51" s="82">
        <f>SUM(P26:P50)</f>
        <v>557900000</v>
      </c>
      <c r="Q51" s="83">
        <f>SUM(Q26:Q50)</f>
        <v>71800000</v>
      </c>
      <c r="R51" s="35"/>
      <c r="T51" s="7"/>
      <c r="U51" s="7"/>
      <c r="V51" s="7"/>
      <c r="W51" s="58"/>
      <c r="X51" s="49"/>
      <c r="Y51" s="6"/>
      <c r="Z51" s="6"/>
    </row>
    <row r="52" spans="2:26" x14ac:dyDescent="0.3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  <c r="O52" s="55"/>
      <c r="P52" s="55"/>
      <c r="Q52" s="22"/>
      <c r="R52" s="6"/>
      <c r="T52" s="7"/>
      <c r="U52" s="7"/>
      <c r="V52" s="7"/>
      <c r="W52" s="58"/>
      <c r="X52" s="49"/>
      <c r="Y52" s="6"/>
      <c r="Z52" s="6"/>
    </row>
    <row r="53" spans="2:26" x14ac:dyDescent="0.35">
      <c r="B53" s="6"/>
      <c r="C53" s="54" t="s">
        <v>164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8"/>
      <c r="O53" s="55"/>
      <c r="P53" s="55"/>
      <c r="Q53" s="22"/>
      <c r="R53" s="6"/>
      <c r="T53" s="7"/>
      <c r="U53" s="7"/>
      <c r="V53" s="7"/>
      <c r="W53" s="58"/>
      <c r="X53" s="49"/>
      <c r="Y53" s="6"/>
      <c r="Z53" s="6"/>
    </row>
    <row r="54" spans="2:26" s="140" customFormat="1" x14ac:dyDescent="0.35">
      <c r="B54" s="133">
        <v>1</v>
      </c>
      <c r="C54" s="134"/>
      <c r="D54" s="135" t="s">
        <v>168</v>
      </c>
      <c r="E54" s="117" t="s">
        <v>274</v>
      </c>
      <c r="F54" s="117" t="s">
        <v>127</v>
      </c>
      <c r="G54" s="134"/>
      <c r="H54" s="133" t="s">
        <v>107</v>
      </c>
      <c r="I54" s="133" t="s">
        <v>76</v>
      </c>
      <c r="J54" s="133" t="s">
        <v>99</v>
      </c>
      <c r="K54" s="133" t="s">
        <v>54</v>
      </c>
      <c r="L54" s="133" t="s">
        <v>100</v>
      </c>
      <c r="M54" s="133" t="s">
        <v>169</v>
      </c>
      <c r="N54" s="136">
        <v>46183</v>
      </c>
      <c r="O54" s="137">
        <f>'[3]06-001'!$E$16</f>
        <v>23000000</v>
      </c>
      <c r="P54" s="137">
        <v>20400000</v>
      </c>
      <c r="Q54" s="138">
        <f t="shared" ref="Q54:Q59" si="5">O54-P54</f>
        <v>2600000</v>
      </c>
      <c r="R54" s="139">
        <f t="shared" ref="R54" si="6">Q54/O54</f>
        <v>0.11304347826086956</v>
      </c>
      <c r="S54" s="140" t="s">
        <v>140</v>
      </c>
      <c r="T54" s="141">
        <v>46216</v>
      </c>
      <c r="U54" s="133"/>
      <c r="V54" s="133"/>
      <c r="W54" s="142"/>
      <c r="X54" s="143"/>
      <c r="Y54" s="134"/>
      <c r="Z54" s="134"/>
    </row>
    <row r="55" spans="2:26" s="140" customFormat="1" x14ac:dyDescent="0.35">
      <c r="B55" s="133">
        <v>2</v>
      </c>
      <c r="C55" s="134"/>
      <c r="D55" s="135" t="s">
        <v>170</v>
      </c>
      <c r="E55" s="117" t="s">
        <v>274</v>
      </c>
      <c r="F55" s="117" t="s">
        <v>127</v>
      </c>
      <c r="G55" s="134"/>
      <c r="H55" s="133" t="s">
        <v>107</v>
      </c>
      <c r="I55" s="133" t="s">
        <v>59</v>
      </c>
      <c r="J55" s="133" t="s">
        <v>99</v>
      </c>
      <c r="K55" s="133" t="s">
        <v>54</v>
      </c>
      <c r="L55" s="133" t="s">
        <v>100</v>
      </c>
      <c r="M55" s="133" t="s">
        <v>157</v>
      </c>
      <c r="N55" s="136">
        <v>46188</v>
      </c>
      <c r="O55" s="137">
        <f>'[3]06-002'!$E$16</f>
        <v>24000000</v>
      </c>
      <c r="P55" s="137">
        <v>19000000</v>
      </c>
      <c r="Q55" s="138">
        <f t="shared" si="5"/>
        <v>5000000</v>
      </c>
      <c r="R55" s="139">
        <f t="shared" ref="R55" si="7">Q55/O55</f>
        <v>0.20833333333333334</v>
      </c>
      <c r="S55" s="140" t="s">
        <v>140</v>
      </c>
      <c r="T55" s="141">
        <v>46216</v>
      </c>
      <c r="U55" s="133"/>
      <c r="V55" s="133"/>
      <c r="W55" s="142"/>
      <c r="X55" s="143"/>
      <c r="Y55" s="134"/>
      <c r="Z55" s="134"/>
    </row>
    <row r="56" spans="2:26" s="140" customFormat="1" x14ac:dyDescent="0.35">
      <c r="B56" s="133">
        <v>3</v>
      </c>
      <c r="C56" s="134"/>
      <c r="D56" s="135" t="s">
        <v>171</v>
      </c>
      <c r="E56" s="117" t="s">
        <v>274</v>
      </c>
      <c r="F56" s="117" t="s">
        <v>127</v>
      </c>
      <c r="G56" s="134"/>
      <c r="H56" s="133" t="s">
        <v>55</v>
      </c>
      <c r="I56" s="144" t="s">
        <v>75</v>
      </c>
      <c r="J56" s="133" t="s">
        <v>108</v>
      </c>
      <c r="K56" s="133" t="s">
        <v>79</v>
      </c>
      <c r="L56" s="133" t="s">
        <v>100</v>
      </c>
      <c r="M56" s="133" t="s">
        <v>204</v>
      </c>
      <c r="N56" s="136">
        <v>46181</v>
      </c>
      <c r="O56" s="137">
        <v>36000000</v>
      </c>
      <c r="P56" s="137">
        <v>33500000</v>
      </c>
      <c r="Q56" s="138">
        <f t="shared" si="5"/>
        <v>2500000</v>
      </c>
      <c r="R56" s="139">
        <f t="shared" ref="R56" si="8">Q56/O56</f>
        <v>6.9444444444444448E-2</v>
      </c>
      <c r="S56" s="140" t="s">
        <v>140</v>
      </c>
      <c r="T56" s="141">
        <v>46213</v>
      </c>
      <c r="U56" s="133"/>
      <c r="V56" s="133"/>
      <c r="W56" s="142"/>
      <c r="X56" s="143"/>
      <c r="Y56" s="134"/>
      <c r="Z56" s="134"/>
    </row>
    <row r="57" spans="2:26" s="140" customFormat="1" x14ac:dyDescent="0.35">
      <c r="B57" s="133">
        <v>4</v>
      </c>
      <c r="C57" s="134"/>
      <c r="D57" s="135" t="s">
        <v>172</v>
      </c>
      <c r="E57" s="117" t="s">
        <v>274</v>
      </c>
      <c r="F57" s="117" t="s">
        <v>127</v>
      </c>
      <c r="G57" s="134"/>
      <c r="H57" s="133" t="s">
        <v>55</v>
      </c>
      <c r="I57" s="144" t="s">
        <v>75</v>
      </c>
      <c r="J57" s="133" t="s">
        <v>59</v>
      </c>
      <c r="K57" s="133" t="s">
        <v>79</v>
      </c>
      <c r="L57" s="133" t="s">
        <v>84</v>
      </c>
      <c r="M57" s="133" t="s">
        <v>203</v>
      </c>
      <c r="N57" s="136">
        <v>46184</v>
      </c>
      <c r="O57" s="137">
        <v>17600000</v>
      </c>
      <c r="P57" s="137">
        <v>16000000</v>
      </c>
      <c r="Q57" s="138">
        <f t="shared" si="5"/>
        <v>1600000</v>
      </c>
      <c r="R57" s="139">
        <f t="shared" ref="R57" si="9">Q57/O57</f>
        <v>9.0909090909090912E-2</v>
      </c>
      <c r="S57" s="140" t="s">
        <v>140</v>
      </c>
      <c r="T57" s="141">
        <v>46216</v>
      </c>
      <c r="U57" s="133"/>
      <c r="V57" s="133"/>
      <c r="W57" s="142"/>
      <c r="X57" s="143"/>
      <c r="Y57" s="134"/>
      <c r="Z57" s="134"/>
    </row>
    <row r="58" spans="2:26" s="140" customFormat="1" x14ac:dyDescent="0.35">
      <c r="B58" s="133">
        <v>5</v>
      </c>
      <c r="C58" s="134"/>
      <c r="D58" s="135" t="s">
        <v>175</v>
      </c>
      <c r="E58" s="117" t="s">
        <v>274</v>
      </c>
      <c r="F58" s="117" t="s">
        <v>127</v>
      </c>
      <c r="G58" s="134"/>
      <c r="H58" s="133" t="s">
        <v>55</v>
      </c>
      <c r="I58" s="144" t="s">
        <v>75</v>
      </c>
      <c r="J58" s="133" t="s">
        <v>76</v>
      </c>
      <c r="K58" s="133" t="s">
        <v>79</v>
      </c>
      <c r="L58" s="133" t="s">
        <v>84</v>
      </c>
      <c r="M58" s="133" t="s">
        <v>203</v>
      </c>
      <c r="N58" s="136">
        <v>46184</v>
      </c>
      <c r="O58" s="137">
        <v>37000000</v>
      </c>
      <c r="P58" s="137">
        <v>33000000</v>
      </c>
      <c r="Q58" s="138">
        <f t="shared" si="5"/>
        <v>4000000</v>
      </c>
      <c r="R58" s="139">
        <f t="shared" ref="R58" si="10">Q58/O58</f>
        <v>0.10810810810810811</v>
      </c>
      <c r="S58" s="140" t="s">
        <v>140</v>
      </c>
      <c r="T58" s="141">
        <v>46209</v>
      </c>
      <c r="U58" s="133"/>
      <c r="V58" s="133"/>
      <c r="W58" s="142"/>
      <c r="X58" s="143"/>
      <c r="Y58" s="134"/>
      <c r="Z58" s="134"/>
    </row>
    <row r="59" spans="2:26" s="140" customFormat="1" x14ac:dyDescent="0.35">
      <c r="B59" s="133">
        <v>6</v>
      </c>
      <c r="C59" s="134"/>
      <c r="D59" s="135" t="s">
        <v>205</v>
      </c>
      <c r="E59" s="117" t="s">
        <v>274</v>
      </c>
      <c r="F59" s="117" t="s">
        <v>127</v>
      </c>
      <c r="G59" s="134"/>
      <c r="H59" s="133" t="s">
        <v>55</v>
      </c>
      <c r="I59" s="144" t="s">
        <v>75</v>
      </c>
      <c r="J59" s="133" t="s">
        <v>76</v>
      </c>
      <c r="K59" s="133" t="s">
        <v>79</v>
      </c>
      <c r="L59" s="133" t="s">
        <v>84</v>
      </c>
      <c r="M59" s="133" t="s">
        <v>203</v>
      </c>
      <c r="N59" s="136">
        <v>46184</v>
      </c>
      <c r="O59" s="137">
        <v>37000000</v>
      </c>
      <c r="P59" s="137">
        <v>33000000</v>
      </c>
      <c r="Q59" s="138">
        <f t="shared" si="5"/>
        <v>4000000</v>
      </c>
      <c r="R59" s="139">
        <f t="shared" ref="R59" si="11">Q59/O59</f>
        <v>0.10810810810810811</v>
      </c>
      <c r="S59" s="140" t="s">
        <v>140</v>
      </c>
      <c r="T59" s="141">
        <v>46209</v>
      </c>
      <c r="U59" s="133"/>
      <c r="V59" s="133"/>
      <c r="W59" s="142"/>
      <c r="X59" s="143"/>
      <c r="Y59" s="134"/>
      <c r="Z59" s="134"/>
    </row>
    <row r="60" spans="2:26" s="140" customFormat="1" x14ac:dyDescent="0.35">
      <c r="B60" s="133">
        <v>7</v>
      </c>
      <c r="C60" s="134"/>
      <c r="D60" s="135" t="s">
        <v>209</v>
      </c>
      <c r="E60" s="117" t="s">
        <v>274</v>
      </c>
      <c r="F60" s="117" t="s">
        <v>127</v>
      </c>
      <c r="G60" s="134"/>
      <c r="H60" s="133" t="s">
        <v>55</v>
      </c>
      <c r="I60" s="144" t="s">
        <v>76</v>
      </c>
      <c r="J60" s="133" t="s">
        <v>136</v>
      </c>
      <c r="K60" s="133" t="s">
        <v>54</v>
      </c>
      <c r="L60" s="133" t="s">
        <v>64</v>
      </c>
      <c r="M60" s="133" t="s">
        <v>208</v>
      </c>
      <c r="N60" s="136">
        <v>46185</v>
      </c>
      <c r="O60" s="137">
        <v>20500000</v>
      </c>
      <c r="P60" s="137">
        <v>18000000</v>
      </c>
      <c r="Q60" s="138">
        <f t="shared" ref="Q60" si="12">O60-P60</f>
        <v>2500000</v>
      </c>
      <c r="R60" s="139">
        <f t="shared" ref="R60" si="13">Q60/O60</f>
        <v>0.12195121951219512</v>
      </c>
      <c r="S60" s="140" t="s">
        <v>140</v>
      </c>
      <c r="T60" s="141">
        <v>46213</v>
      </c>
      <c r="U60" s="133"/>
      <c r="V60" s="133"/>
      <c r="W60" s="142"/>
      <c r="X60" s="143"/>
      <c r="Y60" s="134"/>
      <c r="Z60" s="134"/>
    </row>
    <row r="61" spans="2:26" s="140" customFormat="1" x14ac:dyDescent="0.35">
      <c r="B61" s="133">
        <v>8</v>
      </c>
      <c r="C61" s="134"/>
      <c r="D61" s="135" t="s">
        <v>210</v>
      </c>
      <c r="E61" s="117" t="s">
        <v>274</v>
      </c>
      <c r="F61" s="117" t="s">
        <v>127</v>
      </c>
      <c r="G61" s="134"/>
      <c r="H61" s="133" t="s">
        <v>55</v>
      </c>
      <c r="I61" s="144" t="s">
        <v>75</v>
      </c>
      <c r="J61" s="133" t="s">
        <v>59</v>
      </c>
      <c r="K61" s="133" t="s">
        <v>79</v>
      </c>
      <c r="L61" s="133" t="s">
        <v>84</v>
      </c>
      <c r="M61" s="133" t="s">
        <v>213</v>
      </c>
      <c r="N61" s="136">
        <v>46191</v>
      </c>
      <c r="O61" s="137">
        <v>20500000</v>
      </c>
      <c r="P61" s="137">
        <v>18600000</v>
      </c>
      <c r="Q61" s="138">
        <f t="shared" ref="Q61" si="14">O61-P61</f>
        <v>1900000</v>
      </c>
      <c r="R61" s="139">
        <f t="shared" ref="R61" si="15">Q61/O61</f>
        <v>9.2682926829268292E-2</v>
      </c>
      <c r="S61" s="140" t="s">
        <v>140</v>
      </c>
      <c r="T61" s="141">
        <v>46209</v>
      </c>
      <c r="U61" s="133"/>
      <c r="V61" s="133"/>
      <c r="W61" s="142"/>
      <c r="X61" s="143"/>
      <c r="Y61" s="134"/>
      <c r="Z61" s="134"/>
    </row>
    <row r="62" spans="2:26" s="140" customFormat="1" x14ac:dyDescent="0.35">
      <c r="B62" s="133">
        <v>9</v>
      </c>
      <c r="C62" s="134"/>
      <c r="D62" s="135" t="s">
        <v>212</v>
      </c>
      <c r="E62" s="117" t="s">
        <v>274</v>
      </c>
      <c r="F62" s="117" t="s">
        <v>127</v>
      </c>
      <c r="G62" s="134"/>
      <c r="H62" s="133" t="s">
        <v>55</v>
      </c>
      <c r="I62" s="144" t="s">
        <v>75</v>
      </c>
      <c r="J62" s="133" t="s">
        <v>99</v>
      </c>
      <c r="K62" s="133" t="s">
        <v>79</v>
      </c>
      <c r="L62" s="133" t="s">
        <v>100</v>
      </c>
      <c r="M62" s="133" t="s">
        <v>214</v>
      </c>
      <c r="N62" s="136">
        <v>46190</v>
      </c>
      <c r="O62" s="137">
        <v>37000000</v>
      </c>
      <c r="P62" s="137">
        <v>33000000</v>
      </c>
      <c r="Q62" s="138">
        <f t="shared" ref="Q62" si="16">O62-P62</f>
        <v>4000000</v>
      </c>
      <c r="R62" s="139">
        <f t="shared" ref="R62" si="17">Q62/O62</f>
        <v>0.10810810810810811</v>
      </c>
      <c r="T62" s="133"/>
      <c r="U62" s="133"/>
      <c r="V62" s="133"/>
      <c r="W62" s="142"/>
      <c r="X62" s="143"/>
      <c r="Y62" s="134"/>
      <c r="Z62" s="134"/>
    </row>
    <row r="63" spans="2:26" s="140" customFormat="1" x14ac:dyDescent="0.35">
      <c r="B63" s="133">
        <v>10</v>
      </c>
      <c r="C63" s="134"/>
      <c r="D63" s="135" t="s">
        <v>215</v>
      </c>
      <c r="E63" s="117" t="s">
        <v>274</v>
      </c>
      <c r="F63" s="117" t="s">
        <v>127</v>
      </c>
      <c r="G63" s="134"/>
      <c r="H63" s="133" t="s">
        <v>55</v>
      </c>
      <c r="I63" s="144" t="s">
        <v>75</v>
      </c>
      <c r="J63" s="133" t="s">
        <v>108</v>
      </c>
      <c r="K63" s="133" t="s">
        <v>79</v>
      </c>
      <c r="L63" s="133" t="s">
        <v>100</v>
      </c>
      <c r="M63" s="133" t="s">
        <v>214</v>
      </c>
      <c r="N63" s="136">
        <v>46190</v>
      </c>
      <c r="O63" s="137">
        <v>38000000</v>
      </c>
      <c r="P63" s="137">
        <v>34000000</v>
      </c>
      <c r="Q63" s="138">
        <f t="shared" ref="Q63" si="18">O63-P63</f>
        <v>4000000</v>
      </c>
      <c r="R63" s="139">
        <f t="shared" ref="R63" si="19">Q63/O63</f>
        <v>0.10526315789473684</v>
      </c>
      <c r="T63" s="133"/>
      <c r="U63" s="133"/>
      <c r="V63" s="133"/>
      <c r="W63" s="142"/>
      <c r="X63" s="143"/>
      <c r="Y63" s="134"/>
      <c r="Z63" s="134"/>
    </row>
    <row r="64" spans="2:26" s="140" customFormat="1" x14ac:dyDescent="0.35">
      <c r="B64" s="133">
        <v>11</v>
      </c>
      <c r="C64" s="134"/>
      <c r="D64" s="135" t="s">
        <v>216</v>
      </c>
      <c r="E64" s="117" t="s">
        <v>274</v>
      </c>
      <c r="F64" s="117" t="s">
        <v>127</v>
      </c>
      <c r="G64" s="134"/>
      <c r="H64" s="133" t="s">
        <v>56</v>
      </c>
      <c r="I64" s="144" t="s">
        <v>59</v>
      </c>
      <c r="J64" s="133" t="s">
        <v>61</v>
      </c>
      <c r="K64" s="133" t="s">
        <v>103</v>
      </c>
      <c r="L64" s="133" t="s">
        <v>63</v>
      </c>
      <c r="M64" s="133" t="s">
        <v>217</v>
      </c>
      <c r="N64" s="136">
        <v>46194</v>
      </c>
      <c r="O64" s="137">
        <f>'[3]06-011'!$F$16</f>
        <v>33000000</v>
      </c>
      <c r="P64" s="137">
        <v>29000000</v>
      </c>
      <c r="Q64" s="138">
        <f t="shared" ref="Q64" si="20">O64-P64</f>
        <v>4000000</v>
      </c>
      <c r="R64" s="139">
        <f t="shared" ref="R64" si="21">Q64/O64</f>
        <v>0.12121212121212122</v>
      </c>
      <c r="S64" s="140" t="s">
        <v>140</v>
      </c>
      <c r="T64" s="141">
        <v>46213</v>
      </c>
      <c r="U64" s="133"/>
      <c r="V64" s="133"/>
      <c r="W64" s="142"/>
      <c r="X64" s="143"/>
      <c r="Y64" s="134"/>
      <c r="Z64" s="134"/>
    </row>
    <row r="65" spans="2:26" s="140" customFormat="1" x14ac:dyDescent="0.35">
      <c r="B65" s="145">
        <v>12</v>
      </c>
      <c r="C65" s="146"/>
      <c r="D65" s="147" t="s">
        <v>220</v>
      </c>
      <c r="E65" s="146" t="s">
        <v>274</v>
      </c>
      <c r="F65" s="146" t="s">
        <v>127</v>
      </c>
      <c r="G65" s="146"/>
      <c r="H65" s="145" t="s">
        <v>107</v>
      </c>
      <c r="I65" s="148" t="s">
        <v>59</v>
      </c>
      <c r="J65" s="145" t="s">
        <v>221</v>
      </c>
      <c r="K65" s="145" t="s">
        <v>54</v>
      </c>
      <c r="L65" s="145" t="s">
        <v>63</v>
      </c>
      <c r="M65" s="145" t="s">
        <v>222</v>
      </c>
      <c r="N65" s="149">
        <v>46196</v>
      </c>
      <c r="O65" s="137">
        <f>'[3]06-012'!$E$16</f>
        <v>22600000</v>
      </c>
      <c r="P65" s="137">
        <v>19000000</v>
      </c>
      <c r="Q65" s="138">
        <f t="shared" ref="Q65" si="22">O65-P65</f>
        <v>3600000</v>
      </c>
      <c r="R65" s="139">
        <f t="shared" ref="R65" si="23">Q65/O65</f>
        <v>0.15929203539823009</v>
      </c>
      <c r="S65" s="140" t="s">
        <v>140</v>
      </c>
      <c r="T65" s="141">
        <v>46216</v>
      </c>
      <c r="U65" s="133"/>
      <c r="V65" s="133"/>
      <c r="W65" s="142"/>
      <c r="X65" s="143"/>
      <c r="Y65" s="134"/>
      <c r="Z65" s="134"/>
    </row>
    <row r="66" spans="2:26" s="140" customFormat="1" x14ac:dyDescent="0.35">
      <c r="B66" s="150"/>
      <c r="C66" s="151"/>
      <c r="D66" s="152"/>
      <c r="E66" s="151"/>
      <c r="F66" s="151"/>
      <c r="G66" s="151"/>
      <c r="H66" s="150"/>
      <c r="I66" s="153"/>
      <c r="J66" s="154"/>
      <c r="K66" s="154"/>
      <c r="L66" s="155"/>
      <c r="M66" s="150"/>
      <c r="N66" s="156" t="s">
        <v>275</v>
      </c>
      <c r="O66" s="137">
        <v>1000000</v>
      </c>
      <c r="P66" s="137">
        <v>1000000</v>
      </c>
      <c r="Q66" s="138">
        <f t="shared" ref="Q66" si="24">O66-P66</f>
        <v>0</v>
      </c>
      <c r="R66" s="139">
        <f t="shared" ref="R66" si="25">Q66/O66</f>
        <v>0</v>
      </c>
      <c r="T66" s="133"/>
      <c r="U66" s="133"/>
      <c r="V66" s="133"/>
      <c r="W66" s="142"/>
      <c r="X66" s="143"/>
      <c r="Y66" s="134"/>
      <c r="Z66" s="134"/>
    </row>
    <row r="67" spans="2:26" s="140" customFormat="1" x14ac:dyDescent="0.35">
      <c r="B67" s="133">
        <v>13</v>
      </c>
      <c r="C67" s="134"/>
      <c r="D67" s="144" t="s">
        <v>223</v>
      </c>
      <c r="E67" s="117" t="s">
        <v>274</v>
      </c>
      <c r="F67" s="117" t="s">
        <v>127</v>
      </c>
      <c r="G67" s="134"/>
      <c r="H67" s="133" t="s">
        <v>56</v>
      </c>
      <c r="I67" s="157" t="s">
        <v>224</v>
      </c>
      <c r="J67" s="158"/>
      <c r="K67" s="158"/>
      <c r="L67" s="159"/>
      <c r="M67" s="133"/>
      <c r="N67" s="136"/>
      <c r="O67" s="137">
        <v>1860000</v>
      </c>
      <c r="P67" s="137">
        <v>1860000</v>
      </c>
      <c r="Q67" s="138">
        <f t="shared" ref="Q67" si="26">O67-P67</f>
        <v>0</v>
      </c>
      <c r="R67" s="139">
        <f t="shared" ref="R67" si="27">Q67/O67</f>
        <v>0</v>
      </c>
      <c r="T67" s="133"/>
      <c r="U67" s="133"/>
      <c r="V67" s="133"/>
      <c r="W67" s="142"/>
      <c r="X67" s="143"/>
      <c r="Y67" s="134"/>
      <c r="Z67" s="134"/>
    </row>
    <row r="68" spans="2:26" s="140" customFormat="1" x14ac:dyDescent="0.35">
      <c r="B68" s="133">
        <v>14</v>
      </c>
      <c r="C68" s="134"/>
      <c r="D68" s="135" t="s">
        <v>225</v>
      </c>
      <c r="E68" s="117" t="s">
        <v>274</v>
      </c>
      <c r="F68" s="117" t="s">
        <v>127</v>
      </c>
      <c r="G68" s="134"/>
      <c r="H68" s="133" t="s">
        <v>55</v>
      </c>
      <c r="I68" s="144" t="s">
        <v>75</v>
      </c>
      <c r="J68" s="133" t="s">
        <v>76</v>
      </c>
      <c r="K68" s="133" t="s">
        <v>79</v>
      </c>
      <c r="L68" s="133" t="s">
        <v>84</v>
      </c>
      <c r="M68" s="133" t="s">
        <v>226</v>
      </c>
      <c r="N68" s="136">
        <v>46199</v>
      </c>
      <c r="O68" s="137">
        <v>27000000</v>
      </c>
      <c r="P68" s="137">
        <v>23000000</v>
      </c>
      <c r="Q68" s="138">
        <f t="shared" ref="Q68" si="28">O68-P68</f>
        <v>4000000</v>
      </c>
      <c r="R68" s="139">
        <f t="shared" ref="R68" si="29">Q68/O68</f>
        <v>0.14814814814814814</v>
      </c>
      <c r="T68" s="133"/>
      <c r="U68" s="133"/>
      <c r="V68" s="133"/>
      <c r="W68" s="142"/>
      <c r="X68" s="143"/>
      <c r="Y68" s="134"/>
      <c r="Z68" s="134"/>
    </row>
    <row r="69" spans="2:26" s="140" customFormat="1" x14ac:dyDescent="0.35">
      <c r="B69" s="133">
        <v>15</v>
      </c>
      <c r="C69" s="134"/>
      <c r="D69" s="135" t="s">
        <v>228</v>
      </c>
      <c r="E69" s="117" t="s">
        <v>274</v>
      </c>
      <c r="F69" s="117" t="s">
        <v>127</v>
      </c>
      <c r="G69" s="134"/>
      <c r="H69" s="133" t="s">
        <v>56</v>
      </c>
      <c r="I69" s="144" t="s">
        <v>59</v>
      </c>
      <c r="J69" s="133" t="s">
        <v>61</v>
      </c>
      <c r="K69" s="133" t="s">
        <v>103</v>
      </c>
      <c r="L69" s="133" t="s">
        <v>63</v>
      </c>
      <c r="M69" s="133" t="s">
        <v>227</v>
      </c>
      <c r="N69" s="136">
        <v>46202</v>
      </c>
      <c r="O69" s="137">
        <f>'[3]06-015'!$F$16</f>
        <v>33000000</v>
      </c>
      <c r="P69" s="137">
        <v>29000000</v>
      </c>
      <c r="Q69" s="138">
        <f t="shared" ref="Q69" si="30">O69-P69</f>
        <v>4000000</v>
      </c>
      <c r="R69" s="139">
        <f t="shared" ref="R69" si="31">Q69/O69</f>
        <v>0.12121212121212122</v>
      </c>
      <c r="T69" s="133"/>
      <c r="U69" s="133"/>
      <c r="V69" s="133"/>
      <c r="W69" s="142"/>
      <c r="X69" s="143"/>
      <c r="Y69" s="134"/>
      <c r="Z69" s="134"/>
    </row>
    <row r="70" spans="2:26" s="140" customFormat="1" x14ac:dyDescent="0.35">
      <c r="B70" s="133">
        <v>16</v>
      </c>
      <c r="C70" s="134"/>
      <c r="D70" s="135" t="s">
        <v>229</v>
      </c>
      <c r="E70" s="117" t="s">
        <v>274</v>
      </c>
      <c r="F70" s="117" t="s">
        <v>127</v>
      </c>
      <c r="G70" s="134"/>
      <c r="H70" s="133" t="s">
        <v>55</v>
      </c>
      <c r="I70" s="144" t="s">
        <v>75</v>
      </c>
      <c r="J70" s="133" t="s">
        <v>234</v>
      </c>
      <c r="K70" s="133" t="s">
        <v>79</v>
      </c>
      <c r="L70" s="133" t="s">
        <v>84</v>
      </c>
      <c r="M70" s="133" t="s">
        <v>226</v>
      </c>
      <c r="N70" s="136">
        <v>46199</v>
      </c>
      <c r="O70" s="137">
        <v>38000000</v>
      </c>
      <c r="P70" s="137">
        <v>34000000</v>
      </c>
      <c r="Q70" s="138">
        <f t="shared" ref="Q70" si="32">O70-P70</f>
        <v>4000000</v>
      </c>
      <c r="R70" s="139">
        <f t="shared" ref="R70" si="33">Q70/O70</f>
        <v>0.10526315789473684</v>
      </c>
      <c r="T70" s="133"/>
      <c r="U70" s="133"/>
      <c r="V70" s="133"/>
      <c r="W70" s="142"/>
      <c r="X70" s="143"/>
      <c r="Y70" s="134"/>
      <c r="Z70" s="134"/>
    </row>
    <row r="71" spans="2:26" s="140" customFormat="1" x14ac:dyDescent="0.35">
      <c r="B71" s="133">
        <v>17</v>
      </c>
      <c r="C71" s="134"/>
      <c r="D71" s="135" t="s">
        <v>233</v>
      </c>
      <c r="E71" s="117" t="s">
        <v>274</v>
      </c>
      <c r="F71" s="117" t="s">
        <v>127</v>
      </c>
      <c r="G71" s="134"/>
      <c r="H71" s="133" t="s">
        <v>57</v>
      </c>
      <c r="I71" s="144" t="s">
        <v>59</v>
      </c>
      <c r="J71" s="133" t="s">
        <v>60</v>
      </c>
      <c r="K71" s="133" t="s">
        <v>54</v>
      </c>
      <c r="L71" s="133" t="s">
        <v>65</v>
      </c>
      <c r="M71" s="133" t="s">
        <v>235</v>
      </c>
      <c r="N71" s="136">
        <v>46201</v>
      </c>
      <c r="O71" s="137">
        <v>34000000</v>
      </c>
      <c r="P71" s="137">
        <v>29000000</v>
      </c>
      <c r="Q71" s="138">
        <f t="shared" ref="Q71" si="34">O71-P71</f>
        <v>5000000</v>
      </c>
      <c r="R71" s="139">
        <f t="shared" ref="R71" si="35">Q71/O71</f>
        <v>0.14705882352941177</v>
      </c>
      <c r="T71" s="133"/>
      <c r="U71" s="133"/>
      <c r="V71" s="133"/>
      <c r="W71" s="142"/>
      <c r="X71" s="143"/>
      <c r="Y71" s="134"/>
      <c r="Z71" s="134"/>
    </row>
    <row r="72" spans="2:26" x14ac:dyDescent="0.35">
      <c r="B72" s="7"/>
      <c r="C72" s="6"/>
      <c r="D72" s="13"/>
      <c r="E72" s="6"/>
      <c r="F72" s="6"/>
      <c r="G72" s="6"/>
      <c r="H72" s="48"/>
      <c r="J72" s="7"/>
      <c r="K72" s="7"/>
      <c r="L72" s="7"/>
      <c r="M72" s="7"/>
      <c r="N72" s="8"/>
      <c r="O72" s="55"/>
      <c r="P72" s="55"/>
      <c r="Q72" s="22"/>
      <c r="R72" s="39"/>
      <c r="T72" s="7"/>
      <c r="U72" s="7"/>
      <c r="V72" s="7"/>
      <c r="W72" s="58"/>
      <c r="X72" s="49"/>
      <c r="Y72" s="6"/>
      <c r="Z72" s="6"/>
    </row>
    <row r="73" spans="2:26" x14ac:dyDescent="0.35"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8"/>
      <c r="O73" s="55"/>
      <c r="P73" s="55"/>
      <c r="Q73" s="22"/>
      <c r="R73" s="6"/>
      <c r="T73" s="7"/>
      <c r="U73" s="7"/>
      <c r="V73" s="7"/>
      <c r="W73" s="58"/>
      <c r="X73" s="49"/>
      <c r="Y73" s="6"/>
      <c r="Z73" s="6"/>
    </row>
    <row r="74" spans="2:26" x14ac:dyDescent="0.35"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81" t="s">
        <v>240</v>
      </c>
      <c r="O74" s="82">
        <f>SUM(O54:O73)</f>
        <v>481060000</v>
      </c>
      <c r="P74" s="82">
        <f>SUM(P54:P73)</f>
        <v>424360000</v>
      </c>
      <c r="Q74" s="83">
        <f>SUM(Q54:Q73)</f>
        <v>56700000</v>
      </c>
      <c r="R74" s="35"/>
      <c r="T74" s="7"/>
      <c r="U74" s="7"/>
      <c r="V74" s="7"/>
      <c r="W74" s="58"/>
      <c r="X74" s="49"/>
      <c r="Y74" s="6"/>
      <c r="Z74" s="6"/>
    </row>
    <row r="75" spans="2:26" x14ac:dyDescent="0.35">
      <c r="B75" s="6"/>
      <c r="C75" s="54" t="s">
        <v>236</v>
      </c>
      <c r="E75" s="6"/>
      <c r="F75" s="6"/>
      <c r="G75" s="6"/>
      <c r="H75" s="6"/>
      <c r="I75" s="6"/>
      <c r="J75" s="6"/>
      <c r="K75" s="6"/>
      <c r="L75" s="6"/>
      <c r="M75" s="6"/>
      <c r="N75" s="8"/>
      <c r="O75" s="55"/>
      <c r="P75" s="55"/>
      <c r="Q75" s="22"/>
      <c r="R75" s="6"/>
      <c r="T75" s="7"/>
      <c r="U75" s="7"/>
      <c r="V75" s="7"/>
      <c r="W75" s="58"/>
      <c r="X75" s="49"/>
      <c r="Y75" s="6"/>
      <c r="Z75" s="6"/>
    </row>
    <row r="76" spans="2:26" x14ac:dyDescent="0.35">
      <c r="B76" s="7">
        <v>1</v>
      </c>
      <c r="C76" s="6"/>
      <c r="D76" s="13" t="s">
        <v>237</v>
      </c>
      <c r="E76" s="117" t="s">
        <v>274</v>
      </c>
      <c r="F76" s="117" t="s">
        <v>127</v>
      </c>
      <c r="G76" s="6"/>
      <c r="H76" s="48" t="s">
        <v>55</v>
      </c>
      <c r="I76" s="47" t="s">
        <v>75</v>
      </c>
      <c r="J76" s="7" t="s">
        <v>76</v>
      </c>
      <c r="K76" s="7" t="s">
        <v>79</v>
      </c>
      <c r="L76" s="7" t="s">
        <v>84</v>
      </c>
      <c r="M76" s="7" t="s">
        <v>238</v>
      </c>
      <c r="N76" s="8">
        <v>46204</v>
      </c>
      <c r="O76" s="55">
        <v>27500000</v>
      </c>
      <c r="P76" s="55">
        <v>24000000</v>
      </c>
      <c r="Q76" s="22">
        <f t="shared" ref="Q76" si="36">O76-P76</f>
        <v>3500000</v>
      </c>
      <c r="R76" s="39">
        <f t="shared" ref="R76" si="37">Q76/O76</f>
        <v>0.12727272727272726</v>
      </c>
      <c r="T76" s="7"/>
      <c r="U76" s="7"/>
      <c r="V76" s="7"/>
      <c r="W76" s="58"/>
      <c r="X76" s="49"/>
      <c r="Y76" s="6"/>
      <c r="Z76" s="6"/>
    </row>
    <row r="77" spans="2:26" x14ac:dyDescent="0.35">
      <c r="B77" s="7">
        <v>2</v>
      </c>
      <c r="C77" s="6"/>
      <c r="D77" s="13" t="s">
        <v>239</v>
      </c>
      <c r="E77" s="117" t="s">
        <v>274</v>
      </c>
      <c r="F77" s="117" t="s">
        <v>127</v>
      </c>
      <c r="G77" s="6"/>
      <c r="H77" s="48" t="s">
        <v>55</v>
      </c>
      <c r="I77" s="47" t="s">
        <v>75</v>
      </c>
      <c r="J77" s="7" t="s">
        <v>76</v>
      </c>
      <c r="K77" s="7" t="s">
        <v>79</v>
      </c>
      <c r="L77" s="7" t="s">
        <v>84</v>
      </c>
      <c r="M77" s="7" t="s">
        <v>238</v>
      </c>
      <c r="N77" s="8">
        <v>46204</v>
      </c>
      <c r="O77" s="55">
        <v>39000000</v>
      </c>
      <c r="P77" s="55">
        <v>34000000</v>
      </c>
      <c r="Q77" s="22">
        <f t="shared" ref="Q77" si="38">O77-P77</f>
        <v>5000000</v>
      </c>
      <c r="R77" s="39">
        <f t="shared" ref="R77" si="39">Q77/O77</f>
        <v>0.12820512820512819</v>
      </c>
      <c r="T77" s="7"/>
      <c r="U77" s="7"/>
      <c r="V77" s="7"/>
      <c r="W77" s="58"/>
      <c r="X77" s="49"/>
      <c r="Y77" s="6"/>
      <c r="Z77" s="6"/>
    </row>
    <row r="78" spans="2:26" x14ac:dyDescent="0.35">
      <c r="B78" s="7">
        <v>3</v>
      </c>
      <c r="C78" s="6"/>
      <c r="D78" s="13" t="s">
        <v>244</v>
      </c>
      <c r="E78" s="117" t="s">
        <v>274</v>
      </c>
      <c r="F78" s="117" t="s">
        <v>127</v>
      </c>
      <c r="G78" s="6"/>
      <c r="H78" s="48" t="s">
        <v>55</v>
      </c>
      <c r="I78" s="7" t="s">
        <v>76</v>
      </c>
      <c r="J78" s="7" t="s">
        <v>136</v>
      </c>
      <c r="K78" s="7" t="s">
        <v>110</v>
      </c>
      <c r="L78" s="7" t="s">
        <v>64</v>
      </c>
      <c r="M78" s="7" t="s">
        <v>245</v>
      </c>
      <c r="N78" s="8">
        <v>46213</v>
      </c>
      <c r="O78" s="55">
        <v>24700000</v>
      </c>
      <c r="P78" s="55">
        <v>22200000</v>
      </c>
      <c r="Q78" s="22">
        <f t="shared" ref="Q78" si="40">O78-P78</f>
        <v>2500000</v>
      </c>
      <c r="R78" s="39">
        <f t="shared" ref="R78" si="41">Q78/O78</f>
        <v>0.10121457489878542</v>
      </c>
      <c r="T78" s="7"/>
      <c r="U78" s="7"/>
      <c r="V78" s="7"/>
      <c r="W78" s="58"/>
      <c r="X78" s="49"/>
      <c r="Y78" s="6"/>
      <c r="Z78" s="6"/>
    </row>
    <row r="79" spans="2:26" x14ac:dyDescent="0.35">
      <c r="B79" s="7">
        <v>4</v>
      </c>
      <c r="C79" s="6"/>
      <c r="D79" s="13" t="s">
        <v>246</v>
      </c>
      <c r="E79" s="117" t="s">
        <v>274</v>
      </c>
      <c r="F79" s="117" t="s">
        <v>127</v>
      </c>
      <c r="G79" s="6"/>
      <c r="H79" s="48" t="s">
        <v>56</v>
      </c>
      <c r="I79" s="47" t="s">
        <v>59</v>
      </c>
      <c r="J79" s="7" t="s">
        <v>61</v>
      </c>
      <c r="K79" s="7" t="s">
        <v>54</v>
      </c>
      <c r="L79" s="7" t="s">
        <v>63</v>
      </c>
      <c r="M79" s="7" t="s">
        <v>248</v>
      </c>
      <c r="N79" s="8">
        <v>46210</v>
      </c>
      <c r="O79" s="55">
        <f>'[4]07-004'!$E$16</f>
        <v>16500000</v>
      </c>
      <c r="P79" s="55">
        <v>15000000</v>
      </c>
      <c r="Q79" s="22">
        <f t="shared" ref="Q79" si="42">O79-P79</f>
        <v>1500000</v>
      </c>
      <c r="R79" s="39">
        <f t="shared" ref="R79" si="43">Q79/O79</f>
        <v>9.0909090909090912E-2</v>
      </c>
      <c r="T79" s="7"/>
      <c r="U79" s="7"/>
      <c r="V79" s="7"/>
      <c r="W79" s="58"/>
      <c r="X79" s="49"/>
      <c r="Y79" s="6"/>
      <c r="Z79" s="6"/>
    </row>
    <row r="80" spans="2:26" x14ac:dyDescent="0.35">
      <c r="B80" s="7">
        <v>5</v>
      </c>
      <c r="C80" s="6"/>
      <c r="D80" s="13" t="s">
        <v>247</v>
      </c>
      <c r="E80" s="117" t="s">
        <v>274</v>
      </c>
      <c r="F80" s="117" t="s">
        <v>127</v>
      </c>
      <c r="G80" s="6"/>
      <c r="H80" s="7" t="s">
        <v>153</v>
      </c>
      <c r="I80" s="7" t="s">
        <v>76</v>
      </c>
      <c r="J80" s="7" t="s">
        <v>61</v>
      </c>
      <c r="K80" s="7" t="s">
        <v>54</v>
      </c>
      <c r="L80" s="7" t="s">
        <v>63</v>
      </c>
      <c r="M80" s="7" t="s">
        <v>248</v>
      </c>
      <c r="N80" s="8">
        <v>46210</v>
      </c>
      <c r="O80" s="55">
        <f>'[4]07-005'!$E$16</f>
        <v>23700000</v>
      </c>
      <c r="P80" s="55">
        <v>20500000</v>
      </c>
      <c r="Q80" s="22">
        <f t="shared" ref="Q80" si="44">O80-P80</f>
        <v>3200000</v>
      </c>
      <c r="R80" s="39">
        <f t="shared" ref="R80" si="45">Q80/O80</f>
        <v>0.13502109704641349</v>
      </c>
      <c r="T80" s="7"/>
      <c r="U80" s="7"/>
      <c r="V80" s="7"/>
      <c r="W80" s="58"/>
      <c r="X80" s="49"/>
      <c r="Y80" s="6"/>
      <c r="Z80" s="6"/>
    </row>
    <row r="81" spans="2:26" x14ac:dyDescent="0.35">
      <c r="B81" s="7">
        <v>6</v>
      </c>
      <c r="C81" s="6"/>
      <c r="D81" s="13" t="s">
        <v>251</v>
      </c>
      <c r="E81" s="117" t="s">
        <v>274</v>
      </c>
      <c r="F81" s="117" t="s">
        <v>127</v>
      </c>
      <c r="G81" s="6"/>
      <c r="H81" s="7" t="s">
        <v>252</v>
      </c>
      <c r="I81" s="7" t="s">
        <v>59</v>
      </c>
      <c r="J81" s="7" t="s">
        <v>99</v>
      </c>
      <c r="K81" s="7" t="s">
        <v>54</v>
      </c>
      <c r="L81" s="7" t="s">
        <v>100</v>
      </c>
      <c r="M81" s="7" t="s">
        <v>253</v>
      </c>
      <c r="N81" s="8">
        <v>46211</v>
      </c>
      <c r="O81" s="55">
        <f>'[4]07-006'!$E$16</f>
        <v>24500000</v>
      </c>
      <c r="P81" s="55">
        <v>21500000</v>
      </c>
      <c r="Q81" s="22">
        <f t="shared" ref="Q81" si="46">O81-P81</f>
        <v>3000000</v>
      </c>
      <c r="R81" s="39">
        <f t="shared" ref="R81" si="47">Q81/O81</f>
        <v>0.12244897959183673</v>
      </c>
      <c r="T81" s="7"/>
      <c r="U81" s="7"/>
      <c r="V81" s="7"/>
      <c r="W81" s="58"/>
      <c r="X81" s="49"/>
      <c r="Y81" s="6"/>
      <c r="Z81" s="6"/>
    </row>
    <row r="82" spans="2:26" x14ac:dyDescent="0.35">
      <c r="B82" s="7">
        <v>7</v>
      </c>
      <c r="C82" s="6"/>
      <c r="D82" s="13" t="s">
        <v>258</v>
      </c>
      <c r="E82" s="117" t="s">
        <v>274</v>
      </c>
      <c r="F82" s="117" t="s">
        <v>127</v>
      </c>
      <c r="G82" s="6"/>
      <c r="H82" s="7" t="s">
        <v>252</v>
      </c>
      <c r="I82" s="7" t="s">
        <v>59</v>
      </c>
      <c r="J82" s="7" t="s">
        <v>221</v>
      </c>
      <c r="K82" s="7" t="s">
        <v>54</v>
      </c>
      <c r="L82" s="7" t="s">
        <v>100</v>
      </c>
      <c r="M82" s="7" t="s">
        <v>259</v>
      </c>
      <c r="N82" s="8">
        <v>46213</v>
      </c>
      <c r="O82" s="55">
        <f>'[4]07-007'!$E$16</f>
        <v>23500000</v>
      </c>
      <c r="P82" s="55">
        <v>21500000</v>
      </c>
      <c r="Q82" s="22">
        <f t="shared" ref="Q82" si="48">O82-P82</f>
        <v>2000000</v>
      </c>
      <c r="R82" s="39">
        <f t="shared" ref="R82" si="49">Q82/O82</f>
        <v>8.5106382978723402E-2</v>
      </c>
      <c r="T82" s="7"/>
      <c r="U82" s="7"/>
      <c r="V82" s="7"/>
      <c r="W82" s="58"/>
      <c r="X82" s="49"/>
      <c r="Y82" s="6"/>
      <c r="Z82" s="6"/>
    </row>
    <row r="83" spans="2:26" x14ac:dyDescent="0.35">
      <c r="B83" s="7">
        <v>8</v>
      </c>
      <c r="C83" s="6"/>
      <c r="D83" s="13" t="s">
        <v>260</v>
      </c>
      <c r="E83" s="117" t="s">
        <v>274</v>
      </c>
      <c r="F83" s="117" t="s">
        <v>127</v>
      </c>
      <c r="G83" s="6"/>
      <c r="H83" s="7" t="s">
        <v>252</v>
      </c>
      <c r="I83" s="7" t="s">
        <v>59</v>
      </c>
      <c r="J83" s="7" t="s">
        <v>99</v>
      </c>
      <c r="K83" s="7" t="s">
        <v>54</v>
      </c>
      <c r="L83" s="7" t="s">
        <v>100</v>
      </c>
      <c r="M83" s="7" t="s">
        <v>261</v>
      </c>
      <c r="N83" s="8">
        <v>46213</v>
      </c>
      <c r="O83" s="55">
        <f>'[4]07-008'!$E$16</f>
        <v>25000000</v>
      </c>
      <c r="P83" s="55">
        <v>23000000</v>
      </c>
      <c r="Q83" s="22">
        <f t="shared" ref="Q83" si="50">O83-P83</f>
        <v>2000000</v>
      </c>
      <c r="R83" s="39">
        <f t="shared" ref="R83" si="51">Q83/O83</f>
        <v>0.08</v>
      </c>
      <c r="T83" s="7"/>
      <c r="U83" s="7"/>
      <c r="V83" s="7"/>
      <c r="W83" s="58"/>
      <c r="X83" s="49"/>
      <c r="Y83" s="6"/>
      <c r="Z83" s="6"/>
    </row>
    <row r="84" spans="2:26" x14ac:dyDescent="0.35">
      <c r="B84" s="7">
        <v>9</v>
      </c>
      <c r="C84" s="6"/>
      <c r="D84" s="13" t="s">
        <v>269</v>
      </c>
      <c r="E84" s="117" t="s">
        <v>274</v>
      </c>
      <c r="F84" s="117" t="s">
        <v>127</v>
      </c>
      <c r="G84" s="6"/>
      <c r="H84" s="48" t="s">
        <v>55</v>
      </c>
      <c r="I84" s="47" t="s">
        <v>75</v>
      </c>
      <c r="J84" s="7" t="s">
        <v>76</v>
      </c>
      <c r="K84" s="7" t="s">
        <v>110</v>
      </c>
      <c r="L84" s="7" t="s">
        <v>100</v>
      </c>
      <c r="M84" s="7" t="s">
        <v>270</v>
      </c>
      <c r="N84" s="8">
        <v>46218</v>
      </c>
      <c r="O84" s="55">
        <v>31000000</v>
      </c>
      <c r="P84" s="55">
        <v>28000000</v>
      </c>
      <c r="Q84" s="22">
        <f t="shared" ref="Q84" si="52">O84-P84</f>
        <v>3000000</v>
      </c>
      <c r="R84" s="39">
        <f t="shared" ref="R84" si="53">Q84/O84</f>
        <v>9.6774193548387094E-2</v>
      </c>
      <c r="T84" s="7"/>
      <c r="U84" s="7"/>
      <c r="V84" s="7"/>
      <c r="W84" s="58"/>
      <c r="X84" s="49"/>
      <c r="Y84" s="6"/>
      <c r="Z84" s="6"/>
    </row>
    <row r="85" spans="2:26" x14ac:dyDescent="0.35">
      <c r="B85" s="7">
        <v>10</v>
      </c>
      <c r="C85" s="6"/>
      <c r="D85" s="13" t="s">
        <v>271</v>
      </c>
      <c r="E85" s="117" t="s">
        <v>274</v>
      </c>
      <c r="F85" s="117" t="s">
        <v>127</v>
      </c>
      <c r="G85" s="6"/>
      <c r="H85" s="7" t="s">
        <v>252</v>
      </c>
      <c r="I85" s="7" t="s">
        <v>59</v>
      </c>
      <c r="J85" s="7" t="s">
        <v>136</v>
      </c>
      <c r="K85" s="7" t="s">
        <v>54</v>
      </c>
      <c r="L85" s="7" t="s">
        <v>82</v>
      </c>
      <c r="M85" s="7" t="s">
        <v>272</v>
      </c>
      <c r="N85" s="8">
        <v>46220</v>
      </c>
      <c r="O85" s="55">
        <f>'[4]07-010'!$E$16</f>
        <v>25700000</v>
      </c>
      <c r="P85" s="55">
        <v>22500000</v>
      </c>
      <c r="Q85" s="22">
        <f t="shared" ref="Q85" si="54">O85-P85</f>
        <v>3200000</v>
      </c>
      <c r="R85" s="39">
        <f t="shared" ref="R85" si="55">Q85/O85</f>
        <v>0.1245136186770428</v>
      </c>
      <c r="T85" s="7"/>
      <c r="U85" s="7"/>
      <c r="V85" s="7"/>
      <c r="W85" s="58"/>
      <c r="X85" s="49"/>
      <c r="Y85" s="6"/>
      <c r="Z85" s="6"/>
    </row>
    <row r="86" spans="2:26" x14ac:dyDescent="0.35">
      <c r="B86" s="7"/>
      <c r="C86" s="6"/>
      <c r="D86" s="13"/>
      <c r="E86" s="117"/>
      <c r="F86" s="117"/>
      <c r="G86" s="6"/>
      <c r="H86" s="48"/>
      <c r="I86" s="47"/>
      <c r="J86" s="7"/>
      <c r="K86" s="7"/>
      <c r="L86" s="7"/>
      <c r="M86" s="7"/>
      <c r="N86" s="8"/>
      <c r="O86" s="55"/>
      <c r="P86" s="55"/>
      <c r="Q86" s="22"/>
      <c r="R86" s="39"/>
      <c r="T86" s="7"/>
      <c r="U86" s="7"/>
      <c r="V86" s="7"/>
      <c r="W86" s="58"/>
      <c r="X86" s="49"/>
      <c r="Y86" s="6"/>
      <c r="Z86" s="6"/>
    </row>
    <row r="87" spans="2:26" x14ac:dyDescent="0.35">
      <c r="B87" s="7"/>
      <c r="C87" s="6"/>
      <c r="D87" s="13"/>
      <c r="E87" s="117"/>
      <c r="F87" s="117"/>
      <c r="G87" s="6"/>
      <c r="H87" s="48"/>
      <c r="I87" s="47"/>
      <c r="J87" s="7"/>
      <c r="K87" s="7"/>
      <c r="L87" s="7"/>
      <c r="M87" s="7"/>
      <c r="N87" s="8"/>
      <c r="O87" s="55"/>
      <c r="P87" s="55"/>
      <c r="Q87" s="22"/>
      <c r="R87" s="39"/>
      <c r="T87" s="7"/>
      <c r="U87" s="7"/>
      <c r="V87" s="7"/>
      <c r="W87" s="58"/>
      <c r="X87" s="49"/>
      <c r="Y87" s="6"/>
      <c r="Z87" s="6"/>
    </row>
    <row r="88" spans="2:26" x14ac:dyDescent="0.35">
      <c r="B88" s="7"/>
      <c r="C88" s="6"/>
      <c r="D88" s="13"/>
      <c r="E88" s="117"/>
      <c r="F88" s="117"/>
      <c r="G88" s="6"/>
      <c r="H88" s="48"/>
      <c r="I88" s="7"/>
      <c r="J88" s="7"/>
      <c r="K88" s="7"/>
      <c r="L88" s="7"/>
      <c r="M88" s="7"/>
      <c r="N88" s="8"/>
      <c r="O88" s="55"/>
      <c r="P88" s="55"/>
      <c r="Q88" s="22"/>
      <c r="R88" s="39"/>
      <c r="T88" s="7"/>
      <c r="U88" s="7"/>
      <c r="V88" s="7"/>
      <c r="W88" s="58"/>
      <c r="X88" s="49"/>
      <c r="Y88" s="6"/>
      <c r="Z88" s="6"/>
    </row>
    <row r="89" spans="2:26" x14ac:dyDescent="0.35">
      <c r="B89" s="7"/>
      <c r="C89" s="6"/>
      <c r="D89" s="13"/>
      <c r="E89" s="6"/>
      <c r="F89" s="6"/>
      <c r="G89" s="6"/>
      <c r="H89" s="7"/>
      <c r="I89" s="7"/>
      <c r="J89" s="7"/>
      <c r="K89" s="7"/>
      <c r="L89" s="7"/>
      <c r="M89" s="7"/>
      <c r="N89" s="8"/>
      <c r="O89" s="55"/>
      <c r="P89" s="55"/>
      <c r="Q89" s="22"/>
      <c r="R89" s="39"/>
      <c r="T89" s="7"/>
      <c r="U89" s="7"/>
      <c r="V89" s="7"/>
      <c r="W89" s="58"/>
      <c r="X89" s="49"/>
      <c r="Y89" s="6"/>
      <c r="Z89" s="6"/>
    </row>
    <row r="90" spans="2:26" x14ac:dyDescent="0.35"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8"/>
      <c r="O90" s="55"/>
      <c r="P90" s="55"/>
      <c r="Q90" s="22"/>
      <c r="R90" s="6"/>
      <c r="T90" s="7"/>
      <c r="U90" s="7"/>
      <c r="V90" s="7"/>
      <c r="W90" s="58"/>
      <c r="X90" s="49"/>
      <c r="Y90" s="6"/>
      <c r="Z90" s="6"/>
    </row>
    <row r="91" spans="2:26" x14ac:dyDescent="0.35"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81" t="s">
        <v>241</v>
      </c>
      <c r="O91" s="82">
        <f>SUM(O76:O90)</f>
        <v>261100000</v>
      </c>
      <c r="P91" s="82">
        <f>SUM(P76:P90)</f>
        <v>232200000</v>
      </c>
      <c r="Q91" s="83">
        <f>SUM(Q76:Q81)</f>
        <v>18700000</v>
      </c>
      <c r="R91" s="84"/>
      <c r="T91" s="7"/>
      <c r="U91" s="7"/>
      <c r="V91" s="7"/>
      <c r="W91" s="58"/>
      <c r="X91" s="49"/>
      <c r="Y91" s="6"/>
      <c r="Z91" s="6"/>
    </row>
    <row r="92" spans="2:26" x14ac:dyDescent="0.35"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8"/>
      <c r="O92" s="55"/>
      <c r="P92" s="55"/>
      <c r="Q92" s="22"/>
      <c r="R92" s="6"/>
      <c r="T92" s="7"/>
      <c r="U92" s="7"/>
      <c r="V92" s="7"/>
      <c r="W92" s="58"/>
      <c r="X92" s="49"/>
      <c r="Y92" s="6"/>
      <c r="Z92" s="6"/>
    </row>
    <row r="93" spans="2:26" x14ac:dyDescent="0.3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8"/>
      <c r="O93" s="55"/>
      <c r="P93" s="55"/>
      <c r="Q93" s="22"/>
      <c r="R93" s="6"/>
      <c r="T93" s="7"/>
      <c r="U93" s="7"/>
      <c r="V93" s="7"/>
      <c r="W93" s="58"/>
      <c r="X93" s="49"/>
      <c r="Y93" s="6"/>
      <c r="Z93" s="6"/>
    </row>
    <row r="94" spans="2:26" x14ac:dyDescent="0.3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T94" s="6"/>
      <c r="U94" s="6"/>
      <c r="V94" s="6"/>
      <c r="W94" s="6"/>
      <c r="X94" s="6"/>
      <c r="Y94" s="6"/>
      <c r="Z94" s="6"/>
    </row>
    <row r="95" spans="2:26" x14ac:dyDescent="0.3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T95" s="6"/>
      <c r="U95" s="6"/>
      <c r="V95" s="6"/>
      <c r="W95" s="6"/>
      <c r="X95" s="6"/>
      <c r="Y95" s="6"/>
      <c r="Z95" s="6"/>
    </row>
    <row r="96" spans="2:26" s="34" customFormat="1" ht="39.65" customHeight="1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3" t="s">
        <v>45</v>
      </c>
      <c r="O96" s="74">
        <f>O51+O24+O74+O91</f>
        <v>1652360000</v>
      </c>
      <c r="P96" s="75">
        <f>P51+P24+P74+P91</f>
        <v>1457210000</v>
      </c>
      <c r="Q96" s="75">
        <f>Q51+Q24+Q74+Q91</f>
        <v>184950000</v>
      </c>
      <c r="R96" s="56"/>
      <c r="T96" s="7"/>
      <c r="U96" s="7"/>
      <c r="V96" s="7"/>
      <c r="W96" s="7"/>
      <c r="X96" s="7"/>
      <c r="Y96" s="7"/>
      <c r="Z96" s="7"/>
    </row>
  </sheetData>
  <mergeCells count="2">
    <mergeCell ref="F9:G9"/>
    <mergeCell ref="K9:K10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5D75-FC12-45C9-ADB4-C866B0180545}">
  <dimension ref="B3:E30"/>
  <sheetViews>
    <sheetView topLeftCell="A7" workbookViewId="0">
      <selection activeCell="C30" sqref="C30"/>
    </sheetView>
  </sheetViews>
  <sheetFormatPr defaultRowHeight="14.5" x14ac:dyDescent="0.35"/>
  <cols>
    <col min="2" max="2" width="33.6328125" customWidth="1"/>
    <col min="3" max="3" width="14.81640625" bestFit="1" customWidth="1"/>
    <col min="4" max="4" width="17.90625" customWidth="1"/>
    <col min="5" max="5" width="13.81640625" bestFit="1" customWidth="1"/>
  </cols>
  <sheetData>
    <row r="3" spans="2:5" x14ac:dyDescent="0.35">
      <c r="B3" t="s">
        <v>176</v>
      </c>
    </row>
    <row r="5" spans="2:5" x14ac:dyDescent="0.35">
      <c r="B5" s="6" t="s">
        <v>100</v>
      </c>
      <c r="C5" s="6"/>
      <c r="D5" s="6"/>
      <c r="E5" s="6"/>
    </row>
    <row r="6" spans="2:5" x14ac:dyDescent="0.35">
      <c r="B6" s="6" t="s">
        <v>177</v>
      </c>
      <c r="C6" s="6" t="s">
        <v>178</v>
      </c>
      <c r="D6" s="86" t="s">
        <v>179</v>
      </c>
      <c r="E6" s="16">
        <v>22560000</v>
      </c>
    </row>
    <row r="7" spans="2:5" x14ac:dyDescent="0.35">
      <c r="B7" s="6" t="s">
        <v>180</v>
      </c>
      <c r="C7" s="6" t="s">
        <v>178</v>
      </c>
      <c r="D7" s="86" t="s">
        <v>181</v>
      </c>
      <c r="E7" s="16">
        <v>22560000</v>
      </c>
    </row>
    <row r="8" spans="2:5" x14ac:dyDescent="0.35">
      <c r="B8" s="6"/>
      <c r="C8" s="6"/>
      <c r="D8" s="6"/>
      <c r="E8" s="16"/>
    </row>
    <row r="9" spans="2:5" x14ac:dyDescent="0.35">
      <c r="B9" s="6" t="s">
        <v>82</v>
      </c>
      <c r="C9" s="6"/>
      <c r="D9" s="6"/>
      <c r="E9" s="16"/>
    </row>
    <row r="10" spans="2:5" x14ac:dyDescent="0.35">
      <c r="B10" s="6" t="s">
        <v>182</v>
      </c>
      <c r="C10" s="6" t="s">
        <v>183</v>
      </c>
      <c r="D10" s="86" t="s">
        <v>184</v>
      </c>
      <c r="E10" s="16">
        <v>26220000</v>
      </c>
    </row>
    <row r="11" spans="2:5" x14ac:dyDescent="0.35">
      <c r="B11" s="6"/>
      <c r="C11" s="6"/>
      <c r="D11" s="6"/>
      <c r="E11" s="6"/>
    </row>
    <row r="12" spans="2:5" x14ac:dyDescent="0.35">
      <c r="B12" s="6"/>
      <c r="C12" s="6"/>
      <c r="D12" s="6" t="s">
        <v>185</v>
      </c>
      <c r="E12" s="22">
        <f>SUM(E6:E11)</f>
        <v>71340000</v>
      </c>
    </row>
    <row r="15" spans="2:5" x14ac:dyDescent="0.35">
      <c r="B15" s="6" t="s">
        <v>186</v>
      </c>
      <c r="C15" s="16">
        <v>200000000</v>
      </c>
      <c r="D15" s="6" t="s">
        <v>202</v>
      </c>
    </row>
    <row r="16" spans="2:5" x14ac:dyDescent="0.35">
      <c r="B16" s="6"/>
      <c r="C16" s="16"/>
      <c r="D16" s="6"/>
    </row>
    <row r="17" spans="2:4" x14ac:dyDescent="0.35">
      <c r="B17" s="6" t="s">
        <v>187</v>
      </c>
      <c r="C17" s="16"/>
      <c r="D17" s="6"/>
    </row>
    <row r="18" spans="2:4" x14ac:dyDescent="0.35">
      <c r="B18" s="6" t="s">
        <v>188</v>
      </c>
      <c r="C18" s="16">
        <v>70000000</v>
      </c>
      <c r="D18" s="6"/>
    </row>
    <row r="19" spans="2:4" x14ac:dyDescent="0.35">
      <c r="B19" s="6" t="s">
        <v>189</v>
      </c>
      <c r="C19" s="16">
        <v>17060000</v>
      </c>
      <c r="D19" s="6" t="s">
        <v>190</v>
      </c>
    </row>
    <row r="20" spans="2:4" x14ac:dyDescent="0.35">
      <c r="B20" s="6" t="s">
        <v>191</v>
      </c>
      <c r="C20" s="16">
        <v>20723000</v>
      </c>
      <c r="D20" s="6" t="s">
        <v>190</v>
      </c>
    </row>
    <row r="21" spans="2:4" x14ac:dyDescent="0.35">
      <c r="B21" s="6" t="s">
        <v>192</v>
      </c>
      <c r="C21" s="16">
        <v>11210000</v>
      </c>
      <c r="D21" s="6" t="s">
        <v>190</v>
      </c>
    </row>
    <row r="22" spans="2:4" x14ac:dyDescent="0.35">
      <c r="B22" s="6"/>
      <c r="C22" s="16">
        <v>1200465</v>
      </c>
      <c r="D22" s="6" t="s">
        <v>194</v>
      </c>
    </row>
    <row r="23" spans="2:4" x14ac:dyDescent="0.35">
      <c r="B23" s="6" t="s">
        <v>193</v>
      </c>
      <c r="C23" s="16">
        <v>29015000</v>
      </c>
      <c r="D23" s="6" t="s">
        <v>190</v>
      </c>
    </row>
    <row r="24" spans="2:4" x14ac:dyDescent="0.35">
      <c r="B24" s="6" t="s">
        <v>195</v>
      </c>
      <c r="C24" s="16">
        <v>6000000</v>
      </c>
      <c r="D24" s="6"/>
    </row>
    <row r="25" spans="2:4" x14ac:dyDescent="0.35">
      <c r="B25" s="6" t="s">
        <v>196</v>
      </c>
      <c r="C25" s="16">
        <v>5000000</v>
      </c>
      <c r="D25" s="6"/>
    </row>
    <row r="26" spans="2:4" x14ac:dyDescent="0.35">
      <c r="B26" s="6" t="s">
        <v>197</v>
      </c>
      <c r="C26" s="16">
        <v>12904910</v>
      </c>
      <c r="D26" s="6" t="s">
        <v>199</v>
      </c>
    </row>
    <row r="27" spans="2:4" x14ac:dyDescent="0.35">
      <c r="B27" s="6" t="s">
        <v>198</v>
      </c>
      <c r="C27" s="16">
        <v>9906036</v>
      </c>
      <c r="D27" s="6" t="s">
        <v>199</v>
      </c>
    </row>
    <row r="28" spans="2:4" x14ac:dyDescent="0.35">
      <c r="B28" s="6" t="s">
        <v>201</v>
      </c>
      <c r="C28" s="16">
        <v>27100000</v>
      </c>
      <c r="D28" s="6" t="s">
        <v>199</v>
      </c>
    </row>
    <row r="29" spans="2:4" x14ac:dyDescent="0.35">
      <c r="B29" s="6"/>
      <c r="C29" s="6"/>
      <c r="D29" s="6"/>
    </row>
    <row r="30" spans="2:4" x14ac:dyDescent="0.35">
      <c r="B30" s="87" t="s">
        <v>200</v>
      </c>
      <c r="C30" s="88">
        <f>SUM(C18:C29)</f>
        <v>210119411</v>
      </c>
      <c r="D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BELUM ADA DI REPORT</vt:lpstr>
      <vt:lpstr>SUMMARY 2026</vt:lpstr>
      <vt:lpstr>EXIM</vt:lpstr>
      <vt:lpstr>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VFL INDONESIA</dc:creator>
  <cp:lastModifiedBy>Cecilia Niken</cp:lastModifiedBy>
  <dcterms:created xsi:type="dcterms:W3CDTF">2025-05-16T09:07:42Z</dcterms:created>
  <dcterms:modified xsi:type="dcterms:W3CDTF">2026-08-12T09:10:38Z</dcterms:modified>
</cp:coreProperties>
</file>