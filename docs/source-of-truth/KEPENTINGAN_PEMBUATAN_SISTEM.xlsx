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SL\FORMAT dan HARGA ISLI\"/>
    </mc:Choice>
  </mc:AlternateContent>
  <xr:revisionPtr revIDLastSave="0" documentId="13_ncr:1_{01CB94F2-DB1C-4219-8B65-B4228D044716}" xr6:coauthVersionLast="47" xr6:coauthVersionMax="47" xr10:uidLastSave="{00000000-0000-0000-0000-000000000000}"/>
  <bookViews>
    <workbookView xWindow="-110" yWindow="-110" windowWidth="19420" windowHeight="11500" activeTab="2" xr2:uid="{3B02B395-D4F5-48F5-B009-1D5396F8B678}"/>
  </bookViews>
  <sheets>
    <sheet name="SO DOMESTIK FCL" sheetId="1" r:id="rId1"/>
    <sheet name="CONTOH LCL" sheetId="2" r:id="rId2"/>
    <sheet name="SO SEA EXIM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6" i="4" l="1"/>
  <c r="F28" i="4"/>
  <c r="F26" i="4"/>
  <c r="F17" i="4"/>
  <c r="F16" i="4"/>
  <c r="D15" i="4"/>
  <c r="H11" i="4" l="1"/>
  <c r="I11" i="4" s="1"/>
  <c r="G28" i="4"/>
  <c r="H28" i="4" s="1"/>
  <c r="H12" i="4" s="1"/>
  <c r="I12" i="4" s="1"/>
  <c r="D34" i="2" l="1"/>
  <c r="D36" i="2" s="1"/>
  <c r="E36" i="2" s="1"/>
  <c r="F16" i="2"/>
  <c r="G16" i="2" s="1"/>
  <c r="D37" i="2" s="1"/>
  <c r="E37" i="2" s="1"/>
  <c r="D16" i="2"/>
  <c r="C16" i="2"/>
  <c r="D41" i="1"/>
  <c r="D43" i="1" s="1"/>
  <c r="E43" i="1" s="1"/>
  <c r="E18" i="1"/>
  <c r="F16" i="1"/>
  <c r="G16" i="1" s="1"/>
  <c r="D16" i="1"/>
  <c r="C16" i="1"/>
  <c r="D44" i="1" l="1"/>
  <c r="E44" i="1" s="1"/>
  <c r="G18" i="1"/>
</calcChain>
</file>

<file path=xl/sharedStrings.xml><?xml version="1.0" encoding="utf-8"?>
<sst xmlns="http://schemas.openxmlformats.org/spreadsheetml/2006/main" count="169" uniqueCount="91">
  <si>
    <t>SALES ORDER</t>
  </si>
  <si>
    <t>ISLI-26.08-005</t>
  </si>
  <si>
    <t>SHIPPER</t>
  </si>
  <si>
    <t>TOTAL BANGUN PERSADA</t>
  </si>
  <si>
    <t>CNEE</t>
  </si>
  <si>
    <t>POL</t>
  </si>
  <si>
    <t>JAKARTA</t>
  </si>
  <si>
    <t xml:space="preserve">POD </t>
  </si>
  <si>
    <t>BATAM</t>
  </si>
  <si>
    <t>QTY CTR</t>
  </si>
  <si>
    <t>2X20'</t>
  </si>
  <si>
    <t>STFG</t>
  </si>
  <si>
    <t>VESSEL</t>
  </si>
  <si>
    <t>KM. ICON IBRANI V.81</t>
  </si>
  <si>
    <t>ETD</t>
  </si>
  <si>
    <t>DESCRIPTION</t>
  </si>
  <si>
    <t>QTY</t>
  </si>
  <si>
    <t>CHARGE TO</t>
  </si>
  <si>
    <t>AMOUNT</t>
  </si>
  <si>
    <t>TAX 1.1%</t>
  </si>
  <si>
    <t>FINAL AMOUNT</t>
  </si>
  <si>
    <t>FREIGHT JKT-BTH</t>
  </si>
  <si>
    <t>SELLING</t>
  </si>
  <si>
    <t>CHARGE LOLO</t>
  </si>
  <si>
    <t>REIMBURSSE</t>
  </si>
  <si>
    <t xml:space="preserve">BUYING </t>
  </si>
  <si>
    <t>NO INV</t>
  </si>
  <si>
    <t>TGL PEMBAYARAN</t>
  </si>
  <si>
    <t>PPH 23 - 2%</t>
  </si>
  <si>
    <t>PEMBAYARAN</t>
  </si>
  <si>
    <t>OF</t>
  </si>
  <si>
    <t>ICON</t>
  </si>
  <si>
    <t>BL</t>
  </si>
  <si>
    <t>THC LOLO JKT</t>
  </si>
  <si>
    <t>LSS</t>
  </si>
  <si>
    <t>THD</t>
  </si>
  <si>
    <t>CLEANING</t>
  </si>
  <si>
    <t>SMT</t>
  </si>
  <si>
    <t>TRUCKING</t>
  </si>
  <si>
    <t>DOORING</t>
  </si>
  <si>
    <t>DANISH</t>
  </si>
  <si>
    <t>HANDLING OPS FREELANCE</t>
  </si>
  <si>
    <t>OPS</t>
  </si>
  <si>
    <t>SEGEL</t>
  </si>
  <si>
    <t>MATERAI cadangan pelayaran</t>
  </si>
  <si>
    <t>MATERAI cadangan invoicing</t>
  </si>
  <si>
    <t>DELIVERY CHARGE</t>
  </si>
  <si>
    <t>LION - cadangan kirim doc</t>
  </si>
  <si>
    <t>LION - cadangan kirim inv</t>
  </si>
  <si>
    <t>TOTAL</t>
  </si>
  <si>
    <t>GP</t>
  </si>
  <si>
    <t>NETT</t>
  </si>
  <si>
    <t>(diisi manual)</t>
  </si>
  <si>
    <t>SERVICE</t>
  </si>
  <si>
    <t>FCL</t>
  </si>
  <si>
    <t>(pilihan (FCL,LCL,A/F))</t>
  </si>
  <si>
    <t>ISLI-26.08-004</t>
  </si>
  <si>
    <t>LCL / 2M³</t>
  </si>
  <si>
    <t>LCL JKT - BATAM</t>
  </si>
  <si>
    <t>650 x 2</t>
  </si>
  <si>
    <t>JELOG</t>
  </si>
  <si>
    <t>ADD COST</t>
  </si>
  <si>
    <t>PPFTZ</t>
  </si>
  <si>
    <t>DOC</t>
  </si>
  <si>
    <t>AGENT</t>
  </si>
  <si>
    <t>ISLI-26.06-007 (SEAFREIGHT)</t>
  </si>
  <si>
    <t>PT DIAMETRAL INVOLUTE</t>
  </si>
  <si>
    <t>JAKARTA, ID</t>
  </si>
  <si>
    <t>MANILA, PH</t>
  </si>
  <si>
    <t>1X20' FCL</t>
  </si>
  <si>
    <t>FORT JAMES V.0XLBWN1NC</t>
  </si>
  <si>
    <t>USD</t>
  </si>
  <si>
    <t>AMOUNT IDR</t>
  </si>
  <si>
    <t>OCEAN FREIGHT</t>
  </si>
  <si>
    <t>TELEX FEE</t>
  </si>
  <si>
    <t>SEAL</t>
  </si>
  <si>
    <t>HANDLING</t>
  </si>
  <si>
    <t>ADMINISTRASI</t>
  </si>
  <si>
    <t>PEB</t>
  </si>
  <si>
    <t>ADDITIONAL TRUCKING &amp; ADD STORAGE</t>
  </si>
  <si>
    <t>COO</t>
  </si>
  <si>
    <t>INSURANCE</t>
  </si>
  <si>
    <t>INVOICE WITH TAX</t>
  </si>
  <si>
    <t>AT COST</t>
  </si>
  <si>
    <t>REIMBURSEMENT STORAGE</t>
  </si>
  <si>
    <t>INVOICE REIMBURSE</t>
  </si>
  <si>
    <t>REIMBURSEMENT LIFT  ON</t>
  </si>
  <si>
    <t>PENITIPAN CONTAINER</t>
  </si>
  <si>
    <t>GF LINES</t>
  </si>
  <si>
    <t>ADDITIONAL TRUCKING</t>
  </si>
  <si>
    <t>ADA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</si>
</sst>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-* #,##0_-;\-* #,##0_-;_-* &quot;-&quot;??_-;_-@_-"/>
    <numFmt numFmtId="165" formatCode="_(* #,##0_);_(* \(#,##0\);_(* &quot;-&quot;?_);_(@_)"/>
    <numFmt numFmtId="166" formatCode="_(* #,##0_);_(* \(#,##0\);_(* &quot;-&quot;??_);_(@_)"/>
    <numFmt numFmtId="167" formatCode="_(* #,##0.00_);_(* \(#,##0.00\);_(* &quot;-&quot;??_);_(@_)"/>
    <numFmt numFmtId="171" formatCode="_-* #,##0.00_-;\-* #,##0.00_-;_-* &quot;-&quot;??_-;_-@_-"/>
    <numFmt numFmtId="172" formatCode="_(&quot;$&quot;* #,##0.00_);_(&quot;$&quot;* \(#,##0.00\);_(&quot;$&quot;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rgb="FFED0000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2" fontId="1" fillId="0" borderId="0" applyFont="0" applyFill="0" applyBorder="0" applyAlignment="0" applyProtection="0"/>
  </cellStyleXfs>
  <cellXfs count="70">
    <xf numFmtId="0" fontId="0" fillId="0" borderId="0" xfId="0"/>
    <xf numFmtId="0" fontId="3" fillId="0" borderId="0" xfId="0" applyFont="1"/>
    <xf numFmtId="15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1" applyNumberFormat="1" applyFont="1" applyBorder="1" applyAlignment="1">
      <alignment horizontal="center"/>
    </xf>
    <xf numFmtId="164" fontId="4" fillId="0" borderId="1" xfId="1" applyNumberFormat="1" applyFont="1" applyBorder="1"/>
    <xf numFmtId="165" fontId="0" fillId="0" borderId="1" xfId="0" applyNumberFormat="1" applyBorder="1"/>
    <xf numFmtId="164" fontId="0" fillId="0" borderId="1" xfId="0" applyNumberFormat="1" applyBorder="1"/>
    <xf numFmtId="0" fontId="2" fillId="0" borderId="0" xfId="0" applyFont="1"/>
    <xf numFmtId="0" fontId="5" fillId="0" borderId="0" xfId="0" applyFont="1"/>
    <xf numFmtId="164" fontId="2" fillId="0" borderId="0" xfId="0" applyNumberFormat="1" applyFont="1" applyAlignment="1">
      <alignment horizontal="right"/>
    </xf>
    <xf numFmtId="164" fontId="5" fillId="0" borderId="0" xfId="0" applyNumberFormat="1" applyFont="1"/>
    <xf numFmtId="164" fontId="6" fillId="0" borderId="1" xfId="1" applyNumberFormat="1" applyFont="1" applyFill="1" applyBorder="1"/>
    <xf numFmtId="0" fontId="6" fillId="0" borderId="1" xfId="0" quotePrefix="1" applyFont="1" applyBorder="1" applyAlignment="1">
      <alignment horizontal="center"/>
    </xf>
    <xf numFmtId="16" fontId="2" fillId="0" borderId="1" xfId="0" applyNumberFormat="1" applyFont="1" applyBorder="1"/>
    <xf numFmtId="0" fontId="2" fillId="0" borderId="1" xfId="0" applyFont="1" applyBorder="1"/>
    <xf numFmtId="166" fontId="0" fillId="0" borderId="1" xfId="1" applyNumberFormat="1" applyFont="1" applyBorder="1"/>
    <xf numFmtId="0" fontId="2" fillId="0" borderId="1" xfId="0" quotePrefix="1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64" fontId="4" fillId="0" borderId="1" xfId="1" applyNumberFormat="1" applyFont="1" applyFill="1" applyBorder="1"/>
    <xf numFmtId="0" fontId="2" fillId="0" borderId="1" xfId="0" applyFont="1" applyBorder="1" applyAlignment="1">
      <alignment horizontal="center"/>
    </xf>
    <xf numFmtId="15" fontId="2" fillId="0" borderId="1" xfId="0" applyNumberFormat="1" applyFont="1" applyBorder="1"/>
    <xf numFmtId="164" fontId="2" fillId="0" borderId="1" xfId="1" applyNumberFormat="1" applyFont="1" applyFill="1" applyBorder="1"/>
    <xf numFmtId="15" fontId="6" fillId="0" borderId="1" xfId="0" applyNumberFormat="1" applyFont="1" applyBorder="1"/>
    <xf numFmtId="15" fontId="7" fillId="0" borderId="1" xfId="0" applyNumberFormat="1" applyFont="1" applyBorder="1"/>
    <xf numFmtId="164" fontId="0" fillId="0" borderId="1" xfId="1" applyNumberFormat="1" applyFont="1" applyFill="1" applyBorder="1"/>
    <xf numFmtId="164" fontId="0" fillId="2" borderId="1" xfId="1" applyNumberFormat="1" applyFont="1" applyFill="1" applyBorder="1"/>
    <xf numFmtId="164" fontId="0" fillId="0" borderId="0" xfId="1" applyNumberFormat="1" applyFont="1" applyFill="1"/>
    <xf numFmtId="0" fontId="0" fillId="0" borderId="0" xfId="0" applyAlignment="1">
      <alignment horizontal="right"/>
    </xf>
    <xf numFmtId="164" fontId="0" fillId="0" borderId="0" xfId="0" applyNumberFormat="1"/>
    <xf numFmtId="10" fontId="0" fillId="0" borderId="0" xfId="0" applyNumberFormat="1" applyAlignment="1">
      <alignment horizontal="right"/>
    </xf>
    <xf numFmtId="164" fontId="2" fillId="0" borderId="0" xfId="0" applyNumberFormat="1" applyFont="1"/>
    <xf numFmtId="10" fontId="0" fillId="0" borderId="0" xfId="0" applyNumberFormat="1"/>
    <xf numFmtId="0" fontId="2" fillId="0" borderId="0" xfId="0" applyFont="1" applyAlignment="1">
      <alignment horizontal="right"/>
    </xf>
    <xf numFmtId="0" fontId="6" fillId="0" borderId="1" xfId="0" quotePrefix="1" applyFont="1" applyBorder="1"/>
    <xf numFmtId="0" fontId="2" fillId="0" borderId="1" xfId="0" quotePrefix="1" applyFont="1" applyBorder="1"/>
    <xf numFmtId="166" fontId="0" fillId="0" borderId="0" xfId="1" applyNumberFormat="1" applyFont="1" applyFill="1"/>
    <xf numFmtId="164" fontId="0" fillId="0" borderId="0" xfId="1" applyNumberFormat="1" applyFont="1"/>
    <xf numFmtId="164" fontId="8" fillId="0" borderId="0" xfId="0" applyNumberFormat="1" applyFont="1"/>
    <xf numFmtId="9" fontId="8" fillId="0" borderId="0" xfId="2" applyFont="1"/>
    <xf numFmtId="9" fontId="0" fillId="0" borderId="0" xfId="2" applyFont="1"/>
    <xf numFmtId="164" fontId="2" fillId="0" borderId="3" xfId="1" applyNumberFormat="1" applyFont="1" applyFill="1" applyBorder="1"/>
    <xf numFmtId="166" fontId="8" fillId="0" borderId="1" xfId="1" applyNumberFormat="1" applyFont="1" applyBorder="1" applyAlignment="1">
      <alignment horizontal="right"/>
    </xf>
    <xf numFmtId="0" fontId="8" fillId="0" borderId="1" xfId="0" applyFont="1" applyBorder="1"/>
    <xf numFmtId="166" fontId="8" fillId="0" borderId="1" xfId="1" applyNumberFormat="1" applyFont="1" applyFill="1" applyBorder="1" applyAlignment="1">
      <alignment horizontal="right"/>
    </xf>
    <xf numFmtId="0" fontId="0" fillId="0" borderId="2" xfId="0" applyBorder="1"/>
    <xf numFmtId="166" fontId="8" fillId="0" borderId="2" xfId="1" applyNumberFormat="1" applyFont="1" applyFill="1" applyBorder="1" applyAlignment="1">
      <alignment horizontal="right"/>
    </xf>
    <xf numFmtId="166" fontId="1" fillId="0" borderId="1" xfId="1" applyNumberFormat="1" applyFont="1" applyBorder="1" applyAlignment="1">
      <alignment horizontal="right"/>
    </xf>
    <xf numFmtId="166" fontId="8" fillId="2" borderId="1" xfId="1" applyNumberFormat="1" applyFont="1" applyFill="1" applyBorder="1" applyAlignment="1">
      <alignment horizontal="right"/>
    </xf>
    <xf numFmtId="167" fontId="8" fillId="2" borderId="1" xfId="0" applyNumberFormat="1" applyFont="1" applyFill="1" applyBorder="1"/>
    <xf numFmtId="0" fontId="9" fillId="2" borderId="0" xfId="0" applyFont="1" applyFill="1"/>
    <xf numFmtId="0" fontId="10" fillId="0" borderId="1" xfId="0" applyFont="1" applyBorder="1"/>
    <xf numFmtId="0" fontId="9" fillId="0" borderId="0" xfId="0" applyFont="1"/>
    <xf numFmtId="166" fontId="1" fillId="0" borderId="1" xfId="1" applyNumberFormat="1" applyFont="1" applyBorder="1"/>
    <xf numFmtId="166" fontId="6" fillId="0" borderId="1" xfId="1" applyNumberFormat="1" applyFont="1" applyBorder="1"/>
    <xf numFmtId="0" fontId="0" fillId="0" borderId="4" xfId="0" applyBorder="1"/>
    <xf numFmtId="167" fontId="8" fillId="0" borderId="1" xfId="0" applyNumberFormat="1" applyFont="1" applyBorder="1"/>
    <xf numFmtId="0" fontId="9" fillId="0" borderId="1" xfId="0" applyFont="1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166" fontId="1" fillId="0" borderId="3" xfId="1" applyNumberFormat="1" applyFont="1" applyBorder="1"/>
    <xf numFmtId="164" fontId="0" fillId="0" borderId="3" xfId="0" applyNumberFormat="1" applyBorder="1"/>
    <xf numFmtId="166" fontId="1" fillId="0" borderId="3" xfId="1" applyNumberFormat="1" applyFont="1" applyBorder="1" applyAlignment="1">
      <alignment horizontal="right"/>
    </xf>
    <xf numFmtId="0" fontId="9" fillId="0" borderId="3" xfId="0" applyFont="1" applyBorder="1"/>
    <xf numFmtId="164" fontId="0" fillId="0" borderId="1" xfId="1" applyNumberFormat="1" applyFont="1" applyBorder="1"/>
  </cellXfs>
  <cellStyles count="6">
    <cellStyle name="Comma" xfId="1" builtinId="3"/>
    <cellStyle name="Comma 2" xfId="4" xr:uid="{61BFD6B3-46C7-4585-A528-F292961ADB49}"/>
    <cellStyle name="Comma 3" xfId="3" xr:uid="{A1D7CB72-C6A9-44B9-9DCB-AFD9F9DED316}"/>
    <cellStyle name="Currency 2" xfId="5" xr:uid="{C3082351-DCEA-41C2-95B4-0AC63DD2F2AC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91D82-8080-43B2-BE4C-A2D182566CF5}">
  <dimension ref="B3:H44"/>
  <sheetViews>
    <sheetView topLeftCell="A10" zoomScale="70" zoomScaleNormal="70" workbookViewId="0">
      <selection activeCell="C3" sqref="C3"/>
    </sheetView>
  </sheetViews>
  <sheetFormatPr defaultRowHeight="14.5" x14ac:dyDescent="0.35"/>
  <cols>
    <col min="2" max="2" width="29.08984375" customWidth="1"/>
    <col min="3" max="3" width="21.26953125" customWidth="1"/>
    <col min="4" max="4" width="28.81640625" customWidth="1"/>
    <col min="5" max="5" width="24.08984375" customWidth="1"/>
    <col min="6" max="6" width="18.1796875" customWidth="1"/>
    <col min="7" max="7" width="23.36328125" customWidth="1"/>
    <col min="8" max="8" width="14.54296875" customWidth="1"/>
  </cols>
  <sheetData>
    <row r="3" spans="2:8" ht="21" x14ac:dyDescent="0.5">
      <c r="B3" s="1" t="s">
        <v>0</v>
      </c>
      <c r="C3" s="1" t="s">
        <v>1</v>
      </c>
      <c r="D3" s="1" t="s">
        <v>52</v>
      </c>
    </row>
    <row r="5" spans="2:8" x14ac:dyDescent="0.35">
      <c r="B5" t="s">
        <v>2</v>
      </c>
      <c r="C5" t="s">
        <v>3</v>
      </c>
    </row>
    <row r="6" spans="2:8" x14ac:dyDescent="0.35">
      <c r="B6" t="s">
        <v>4</v>
      </c>
      <c r="C6" t="s">
        <v>64</v>
      </c>
    </row>
    <row r="7" spans="2:8" x14ac:dyDescent="0.35">
      <c r="B7" t="s">
        <v>5</v>
      </c>
      <c r="C7" t="s">
        <v>6</v>
      </c>
    </row>
    <row r="8" spans="2:8" x14ac:dyDescent="0.35">
      <c r="B8" t="s">
        <v>7</v>
      </c>
      <c r="C8" t="s">
        <v>8</v>
      </c>
    </row>
    <row r="9" spans="2:8" x14ac:dyDescent="0.35">
      <c r="B9" t="s">
        <v>9</v>
      </c>
      <c r="C9" t="s">
        <v>10</v>
      </c>
    </row>
    <row r="10" spans="2:8" x14ac:dyDescent="0.35">
      <c r="B10" t="s">
        <v>11</v>
      </c>
      <c r="C10" s="2"/>
    </row>
    <row r="11" spans="2:8" x14ac:dyDescent="0.35">
      <c r="B11" t="s">
        <v>12</v>
      </c>
      <c r="C11" s="3" t="s">
        <v>13</v>
      </c>
      <c r="D11" s="4"/>
    </row>
    <row r="12" spans="2:8" x14ac:dyDescent="0.35">
      <c r="B12" t="s">
        <v>14</v>
      </c>
      <c r="C12" s="2">
        <v>46248</v>
      </c>
    </row>
    <row r="13" spans="2:8" x14ac:dyDescent="0.35">
      <c r="B13" t="s">
        <v>53</v>
      </c>
      <c r="C13" s="2" t="s">
        <v>54</v>
      </c>
      <c r="D13" t="s">
        <v>55</v>
      </c>
    </row>
    <row r="15" spans="2:8" x14ac:dyDescent="0.35">
      <c r="B15" s="5" t="s">
        <v>15</v>
      </c>
      <c r="C15" s="5" t="s">
        <v>16</v>
      </c>
      <c r="D15" s="5" t="s">
        <v>17</v>
      </c>
      <c r="E15" s="5" t="s">
        <v>18</v>
      </c>
      <c r="F15" s="5" t="s">
        <v>19</v>
      </c>
      <c r="G15" s="5" t="s">
        <v>20</v>
      </c>
    </row>
    <row r="16" spans="2:8" x14ac:dyDescent="0.35">
      <c r="B16" s="6" t="s">
        <v>21</v>
      </c>
      <c r="C16" s="5" t="str">
        <f>C9</f>
        <v>2X20'</v>
      </c>
      <c r="D16" s="7" t="str">
        <f>C5</f>
        <v>TOTAL BANGUN PERSADA</v>
      </c>
      <c r="E16" s="8">
        <v>38000000</v>
      </c>
      <c r="F16" s="9">
        <f>E16*1.1%</f>
        <v>418000.00000000006</v>
      </c>
      <c r="G16" s="10">
        <f>E16+F16</f>
        <v>38418000</v>
      </c>
      <c r="H16" s="11" t="s">
        <v>22</v>
      </c>
    </row>
    <row r="17" spans="2:8" x14ac:dyDescent="0.35">
      <c r="B17" s="6" t="s">
        <v>23</v>
      </c>
      <c r="C17" s="6"/>
      <c r="D17" s="6"/>
      <c r="E17" s="8">
        <v>645000</v>
      </c>
      <c r="F17" s="6"/>
      <c r="G17" s="8">
        <v>645000</v>
      </c>
      <c r="H17" s="12" t="s">
        <v>24</v>
      </c>
    </row>
    <row r="18" spans="2:8" x14ac:dyDescent="0.35">
      <c r="E18" s="13">
        <f>E16+E17</f>
        <v>38645000</v>
      </c>
      <c r="G18" s="14">
        <f>G16+G17</f>
        <v>39063000</v>
      </c>
    </row>
    <row r="19" spans="2:8" x14ac:dyDescent="0.35">
      <c r="B19" s="11" t="s">
        <v>25</v>
      </c>
    </row>
    <row r="20" spans="2:8" x14ac:dyDescent="0.35">
      <c r="B20" s="5" t="s">
        <v>15</v>
      </c>
      <c r="C20" s="5" t="s">
        <v>17</v>
      </c>
      <c r="D20" s="5" t="s">
        <v>18</v>
      </c>
      <c r="E20" s="5" t="s">
        <v>26</v>
      </c>
      <c r="F20" s="5" t="s">
        <v>27</v>
      </c>
      <c r="G20" s="5" t="s">
        <v>28</v>
      </c>
      <c r="H20" s="5" t="s">
        <v>29</v>
      </c>
    </row>
    <row r="21" spans="2:8" x14ac:dyDescent="0.35">
      <c r="B21" s="6" t="s">
        <v>30</v>
      </c>
      <c r="C21" s="6" t="s">
        <v>31</v>
      </c>
      <c r="D21" s="15">
        <v>8500000</v>
      </c>
      <c r="E21" s="16"/>
      <c r="F21" s="17"/>
      <c r="G21" s="6"/>
      <c r="H21" s="6"/>
    </row>
    <row r="22" spans="2:8" x14ac:dyDescent="0.35">
      <c r="B22" s="6" t="s">
        <v>32</v>
      </c>
      <c r="C22" s="6"/>
      <c r="D22" s="15">
        <v>200000</v>
      </c>
      <c r="E22" s="16"/>
      <c r="F22" s="18"/>
      <c r="G22" s="6"/>
      <c r="H22" s="6"/>
    </row>
    <row r="23" spans="2:8" x14ac:dyDescent="0.35">
      <c r="B23" s="6" t="s">
        <v>33</v>
      </c>
      <c r="C23" s="6"/>
      <c r="D23" s="19">
        <v>4805000</v>
      </c>
      <c r="E23" s="5"/>
      <c r="F23" s="18"/>
      <c r="G23" s="6"/>
      <c r="H23" s="6"/>
    </row>
    <row r="24" spans="2:8" x14ac:dyDescent="0.35">
      <c r="B24" s="6" t="s">
        <v>34</v>
      </c>
      <c r="C24" s="6"/>
      <c r="D24" s="15">
        <v>6200000</v>
      </c>
      <c r="E24" s="16"/>
      <c r="F24" s="18"/>
      <c r="G24" s="6"/>
      <c r="H24" s="6"/>
    </row>
    <row r="25" spans="2:8" x14ac:dyDescent="0.35">
      <c r="B25" s="6" t="s">
        <v>35</v>
      </c>
      <c r="C25" s="6"/>
      <c r="D25" s="15">
        <v>2600000</v>
      </c>
      <c r="E25" s="16"/>
      <c r="F25" s="18"/>
      <c r="G25" s="6"/>
      <c r="H25" s="6"/>
    </row>
    <row r="26" spans="2:8" x14ac:dyDescent="0.35">
      <c r="B26" s="6" t="s">
        <v>36</v>
      </c>
      <c r="C26" s="6"/>
      <c r="D26" s="15">
        <v>300000</v>
      </c>
      <c r="E26" s="20"/>
      <c r="F26" s="18"/>
      <c r="G26" s="6"/>
      <c r="H26" s="6"/>
    </row>
    <row r="27" spans="2:8" x14ac:dyDescent="0.35">
      <c r="B27" s="6"/>
      <c r="C27" s="6"/>
      <c r="D27" s="15"/>
      <c r="E27" s="20"/>
      <c r="F27" s="18"/>
      <c r="G27" s="6"/>
      <c r="H27" s="6"/>
    </row>
    <row r="28" spans="2:8" x14ac:dyDescent="0.35">
      <c r="B28" s="6"/>
      <c r="C28" s="6"/>
      <c r="D28" s="6"/>
      <c r="E28" s="20"/>
      <c r="F28" s="18"/>
      <c r="G28" s="6"/>
      <c r="H28" s="6"/>
    </row>
    <row r="29" spans="2:8" x14ac:dyDescent="0.35">
      <c r="B29" s="21" t="s">
        <v>38</v>
      </c>
      <c r="C29" s="6" t="s">
        <v>37</v>
      </c>
      <c r="D29" s="15">
        <v>5000000</v>
      </c>
      <c r="E29" s="22"/>
      <c r="F29" s="17"/>
      <c r="G29" s="10"/>
      <c r="H29" s="10"/>
    </row>
    <row r="30" spans="2:8" x14ac:dyDescent="0.35">
      <c r="B30" s="6" t="s">
        <v>39</v>
      </c>
      <c r="C30" s="6" t="s">
        <v>40</v>
      </c>
      <c r="D30" s="15">
        <v>4000000</v>
      </c>
      <c r="E30" s="20"/>
      <c r="F30" s="18"/>
      <c r="G30" s="6"/>
      <c r="H30" s="6"/>
    </row>
    <row r="31" spans="2:8" x14ac:dyDescent="0.35">
      <c r="B31" s="21"/>
      <c r="C31" s="6"/>
      <c r="D31" s="23"/>
      <c r="E31" s="24"/>
      <c r="F31" s="25"/>
      <c r="G31" s="10"/>
      <c r="H31" s="10"/>
    </row>
    <row r="32" spans="2:8" x14ac:dyDescent="0.35">
      <c r="B32" s="6" t="s">
        <v>41</v>
      </c>
      <c r="C32" s="6" t="s">
        <v>42</v>
      </c>
      <c r="D32" s="26">
        <v>200000</v>
      </c>
      <c r="E32" s="24"/>
      <c r="F32" s="17"/>
      <c r="G32" s="6"/>
      <c r="H32" s="6"/>
    </row>
    <row r="33" spans="2:8" x14ac:dyDescent="0.35">
      <c r="B33" s="6" t="s">
        <v>43</v>
      </c>
      <c r="C33" s="6" t="s">
        <v>42</v>
      </c>
      <c r="D33" s="26">
        <v>200000</v>
      </c>
      <c r="E33" s="22"/>
      <c r="F33" s="17"/>
      <c r="G33" s="6"/>
      <c r="H33" s="6"/>
    </row>
    <row r="34" spans="2:8" x14ac:dyDescent="0.35">
      <c r="B34" s="6" t="s">
        <v>44</v>
      </c>
      <c r="C34" s="6"/>
      <c r="D34" s="23">
        <v>10000</v>
      </c>
      <c r="E34" s="16"/>
      <c r="F34" s="6"/>
      <c r="G34" s="6"/>
      <c r="H34" s="6"/>
    </row>
    <row r="35" spans="2:8" x14ac:dyDescent="0.35">
      <c r="B35" s="6" t="s">
        <v>45</v>
      </c>
      <c r="C35" s="6" t="s">
        <v>42</v>
      </c>
      <c r="D35" s="23">
        <v>10000</v>
      </c>
      <c r="E35" s="24"/>
      <c r="F35" s="25"/>
      <c r="G35" s="6"/>
      <c r="H35" s="6"/>
    </row>
    <row r="36" spans="2:8" x14ac:dyDescent="0.35">
      <c r="B36" s="21" t="s">
        <v>46</v>
      </c>
      <c r="C36" s="6" t="s">
        <v>47</v>
      </c>
      <c r="D36" s="15">
        <v>50000</v>
      </c>
      <c r="E36" s="24"/>
      <c r="F36" s="27"/>
      <c r="G36" s="6"/>
      <c r="H36" s="6"/>
    </row>
    <row r="37" spans="2:8" x14ac:dyDescent="0.35">
      <c r="B37" s="21" t="s">
        <v>46</v>
      </c>
      <c r="C37" s="6" t="s">
        <v>48</v>
      </c>
      <c r="D37" s="15">
        <v>10000</v>
      </c>
      <c r="E37" s="24"/>
      <c r="F37" s="28"/>
      <c r="G37" s="6"/>
      <c r="H37" s="6"/>
    </row>
    <row r="38" spans="2:8" x14ac:dyDescent="0.35">
      <c r="B38" s="6"/>
      <c r="C38" s="6"/>
      <c r="D38" s="29"/>
      <c r="E38" s="5"/>
      <c r="F38" s="18"/>
      <c r="G38" s="6"/>
      <c r="H38" s="6"/>
    </row>
    <row r="39" spans="2:8" x14ac:dyDescent="0.35">
      <c r="B39" s="6"/>
      <c r="C39" s="6"/>
      <c r="D39" s="26"/>
      <c r="E39" s="24"/>
      <c r="F39" s="25"/>
      <c r="G39" s="6"/>
      <c r="H39" s="6"/>
    </row>
    <row r="40" spans="2:8" x14ac:dyDescent="0.35">
      <c r="B40" s="6"/>
      <c r="C40" s="6"/>
      <c r="D40" s="29"/>
      <c r="E40" s="5"/>
      <c r="F40" s="6"/>
      <c r="G40" s="6"/>
      <c r="H40" s="6"/>
    </row>
    <row r="41" spans="2:8" x14ac:dyDescent="0.35">
      <c r="B41" s="6"/>
      <c r="C41" s="6" t="s">
        <v>49</v>
      </c>
      <c r="D41" s="30">
        <f>SUM(D21:D40)</f>
        <v>32085000</v>
      </c>
    </row>
    <row r="42" spans="2:8" x14ac:dyDescent="0.35">
      <c r="D42" s="31"/>
    </row>
    <row r="43" spans="2:8" x14ac:dyDescent="0.35">
      <c r="C43" s="32" t="s">
        <v>50</v>
      </c>
      <c r="D43" s="33">
        <f>E16-D41</f>
        <v>5915000</v>
      </c>
      <c r="E43" s="34">
        <f>D43/E16</f>
        <v>0.15565789473684211</v>
      </c>
      <c r="F43" s="35"/>
    </row>
    <row r="44" spans="2:8" x14ac:dyDescent="0.35">
      <c r="C44" s="32" t="s">
        <v>51</v>
      </c>
      <c r="D44" s="33">
        <f>G16-D41</f>
        <v>6333000</v>
      </c>
      <c r="E44" s="36">
        <f>D44/G16</f>
        <v>0.16484460409183196</v>
      </c>
      <c r="F44" s="3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88CF9-38E1-4136-B8CC-AD50E13503DA}">
  <dimension ref="B3:H37"/>
  <sheetViews>
    <sheetView zoomScale="85" zoomScaleNormal="85" workbookViewId="0">
      <selection activeCell="D21" sqref="D21"/>
    </sheetView>
  </sheetViews>
  <sheetFormatPr defaultRowHeight="14.5" x14ac:dyDescent="0.35"/>
  <cols>
    <col min="2" max="2" width="29.08984375" customWidth="1"/>
    <col min="3" max="3" width="21.81640625" customWidth="1"/>
    <col min="4" max="4" width="28.81640625" customWidth="1"/>
    <col min="5" max="5" width="24.08984375" customWidth="1"/>
    <col min="6" max="6" width="18.1796875" customWidth="1"/>
    <col min="7" max="7" width="23.36328125" customWidth="1"/>
    <col min="8" max="8" width="14.54296875" customWidth="1"/>
  </cols>
  <sheetData>
    <row r="3" spans="2:8" ht="21" x14ac:dyDescent="0.5">
      <c r="B3" s="1" t="s">
        <v>0</v>
      </c>
      <c r="C3" s="1" t="s">
        <v>56</v>
      </c>
      <c r="D3" s="1"/>
    </row>
    <row r="5" spans="2:8" x14ac:dyDescent="0.35">
      <c r="B5" t="s">
        <v>2</v>
      </c>
      <c r="C5" t="s">
        <v>3</v>
      </c>
    </row>
    <row r="6" spans="2:8" x14ac:dyDescent="0.35">
      <c r="B6" t="s">
        <v>4</v>
      </c>
    </row>
    <row r="7" spans="2:8" x14ac:dyDescent="0.35">
      <c r="B7" t="s">
        <v>5</v>
      </c>
    </row>
    <row r="8" spans="2:8" x14ac:dyDescent="0.35">
      <c r="B8" t="s">
        <v>7</v>
      </c>
    </row>
    <row r="9" spans="2:8" x14ac:dyDescent="0.35">
      <c r="B9" t="s">
        <v>9</v>
      </c>
      <c r="C9" t="s">
        <v>57</v>
      </c>
    </row>
    <row r="10" spans="2:8" x14ac:dyDescent="0.35">
      <c r="B10" t="s">
        <v>11</v>
      </c>
      <c r="C10" s="2"/>
    </row>
    <row r="11" spans="2:8" x14ac:dyDescent="0.35">
      <c r="B11" t="s">
        <v>12</v>
      </c>
    </row>
    <row r="12" spans="2:8" x14ac:dyDescent="0.35">
      <c r="B12" t="s">
        <v>14</v>
      </c>
      <c r="C12" s="2"/>
    </row>
    <row r="13" spans="2:8" x14ac:dyDescent="0.35">
      <c r="C13" s="2"/>
    </row>
    <row r="15" spans="2:8" x14ac:dyDescent="0.35">
      <c r="B15" s="5" t="s">
        <v>15</v>
      </c>
      <c r="C15" s="5" t="s">
        <v>16</v>
      </c>
      <c r="D15" s="5" t="s">
        <v>17</v>
      </c>
      <c r="E15" s="5" t="s">
        <v>18</v>
      </c>
      <c r="F15" s="5" t="s">
        <v>19</v>
      </c>
      <c r="G15" s="5" t="s">
        <v>20</v>
      </c>
    </row>
    <row r="16" spans="2:8" x14ac:dyDescent="0.35">
      <c r="B16" s="6" t="s">
        <v>58</v>
      </c>
      <c r="C16" s="5" t="str">
        <f>C9</f>
        <v>LCL / 2M³</v>
      </c>
      <c r="D16" s="7" t="str">
        <f>C5</f>
        <v>TOTAL BANGUN PERSADA</v>
      </c>
      <c r="E16" s="8">
        <v>4000000</v>
      </c>
      <c r="F16" s="9">
        <f>E16*1.1%</f>
        <v>44000.000000000007</v>
      </c>
      <c r="G16" s="10">
        <f>E16+F16</f>
        <v>4044000</v>
      </c>
      <c r="H16" s="11" t="s">
        <v>22</v>
      </c>
    </row>
    <row r="17" spans="2:8" x14ac:dyDescent="0.35">
      <c r="E17" s="37"/>
    </row>
    <row r="18" spans="2:8" x14ac:dyDescent="0.35">
      <c r="E18" s="37"/>
    </row>
    <row r="19" spans="2:8" x14ac:dyDescent="0.35">
      <c r="B19" s="11" t="s">
        <v>25</v>
      </c>
    </row>
    <row r="20" spans="2:8" x14ac:dyDescent="0.35">
      <c r="B20" s="5" t="s">
        <v>15</v>
      </c>
      <c r="C20" s="5" t="s">
        <v>17</v>
      </c>
      <c r="D20" s="5" t="s">
        <v>18</v>
      </c>
      <c r="E20" s="5" t="s">
        <v>26</v>
      </c>
      <c r="F20" s="5" t="s">
        <v>27</v>
      </c>
      <c r="G20" s="5" t="s">
        <v>28</v>
      </c>
      <c r="H20" s="5" t="s">
        <v>29</v>
      </c>
    </row>
    <row r="21" spans="2:8" x14ac:dyDescent="0.35">
      <c r="B21" s="6" t="s">
        <v>59</v>
      </c>
      <c r="C21" s="6" t="s">
        <v>60</v>
      </c>
      <c r="D21" s="15">
        <v>1300000</v>
      </c>
      <c r="E21" s="38"/>
      <c r="F21" s="17"/>
      <c r="G21" s="6"/>
      <c r="H21" s="6"/>
    </row>
    <row r="22" spans="2:8" x14ac:dyDescent="0.35">
      <c r="B22" s="6" t="s">
        <v>61</v>
      </c>
      <c r="C22" s="6" t="s">
        <v>60</v>
      </c>
      <c r="D22" s="15">
        <v>150000</v>
      </c>
      <c r="E22" s="39"/>
      <c r="F22" s="18"/>
      <c r="G22" s="6"/>
      <c r="H22" s="6"/>
    </row>
    <row r="23" spans="2:8" x14ac:dyDescent="0.35">
      <c r="B23" s="6"/>
      <c r="C23" s="6"/>
      <c r="D23" s="19"/>
      <c r="E23" s="6"/>
      <c r="F23" s="18"/>
      <c r="G23" s="6"/>
      <c r="H23" s="6"/>
    </row>
    <row r="24" spans="2:8" x14ac:dyDescent="0.35">
      <c r="B24" s="6"/>
      <c r="C24" s="6"/>
      <c r="D24" s="15"/>
      <c r="E24" s="39"/>
      <c r="F24" s="18"/>
      <c r="G24" s="6"/>
      <c r="H24" s="6"/>
    </row>
    <row r="25" spans="2:8" x14ac:dyDescent="0.35">
      <c r="B25" s="6" t="s">
        <v>62</v>
      </c>
      <c r="C25" s="6" t="s">
        <v>40</v>
      </c>
      <c r="D25" s="15">
        <v>500000</v>
      </c>
      <c r="E25" s="39"/>
      <c r="F25" s="18"/>
      <c r="G25" s="6"/>
      <c r="H25" s="6"/>
    </row>
    <row r="26" spans="2:8" x14ac:dyDescent="0.35">
      <c r="B26" s="6" t="s">
        <v>63</v>
      </c>
      <c r="C26" s="6" t="s">
        <v>60</v>
      </c>
      <c r="D26" s="15">
        <v>500000</v>
      </c>
      <c r="E26" s="39"/>
      <c r="F26" s="18"/>
      <c r="G26" s="6"/>
      <c r="H26" s="6"/>
    </row>
    <row r="27" spans="2:8" x14ac:dyDescent="0.35">
      <c r="B27" s="6"/>
      <c r="C27" s="6"/>
      <c r="D27" s="15"/>
      <c r="E27" s="39"/>
      <c r="F27" s="18"/>
      <c r="G27" s="6"/>
      <c r="H27" s="6"/>
    </row>
    <row r="28" spans="2:8" x14ac:dyDescent="0.35">
      <c r="B28" s="6"/>
      <c r="C28" s="6"/>
      <c r="D28" s="15"/>
      <c r="E28" s="39"/>
      <c r="F28" s="18"/>
      <c r="G28" s="6"/>
      <c r="H28" s="6"/>
    </row>
    <row r="29" spans="2:8" x14ac:dyDescent="0.35">
      <c r="B29" s="6"/>
      <c r="C29" s="6"/>
      <c r="D29" s="29"/>
      <c r="E29" s="21"/>
      <c r="F29" s="17"/>
      <c r="G29" s="10"/>
      <c r="H29" s="10"/>
    </row>
    <row r="30" spans="2:8" x14ac:dyDescent="0.35">
      <c r="B30" s="6"/>
      <c r="C30" s="6"/>
      <c r="D30" s="26"/>
      <c r="E30" s="21"/>
      <c r="F30" s="17"/>
      <c r="G30" s="6"/>
      <c r="H30" s="6"/>
    </row>
    <row r="31" spans="2:8" x14ac:dyDescent="0.35">
      <c r="B31" s="6"/>
      <c r="C31" s="6"/>
      <c r="D31" s="26"/>
      <c r="E31" s="18"/>
      <c r="F31" s="25"/>
      <c r="G31" s="6"/>
      <c r="H31" s="6"/>
    </row>
    <row r="32" spans="2:8" x14ac:dyDescent="0.35">
      <c r="B32" s="6"/>
      <c r="C32" s="6"/>
      <c r="D32" s="29"/>
      <c r="E32" s="6"/>
      <c r="F32" s="6"/>
      <c r="G32" s="6"/>
      <c r="H32" s="6"/>
    </row>
    <row r="33" spans="2:8" x14ac:dyDescent="0.35">
      <c r="B33" s="6"/>
      <c r="C33" s="6"/>
      <c r="D33" s="29"/>
      <c r="E33" s="6"/>
      <c r="F33" s="6"/>
      <c r="G33" s="6"/>
      <c r="H33" s="6"/>
    </row>
    <row r="34" spans="2:8" x14ac:dyDescent="0.35">
      <c r="B34" s="6"/>
      <c r="C34" s="6" t="s">
        <v>49</v>
      </c>
      <c r="D34" s="30">
        <f>SUM(D21:D33)</f>
        <v>2450000</v>
      </c>
    </row>
    <row r="35" spans="2:8" x14ac:dyDescent="0.35">
      <c r="D35" s="31"/>
    </row>
    <row r="36" spans="2:8" x14ac:dyDescent="0.35">
      <c r="C36" s="32" t="s">
        <v>50</v>
      </c>
      <c r="D36" s="33">
        <f>E16-D34</f>
        <v>1550000</v>
      </c>
      <c r="E36" s="34">
        <f>D36/E16</f>
        <v>0.38750000000000001</v>
      </c>
      <c r="F36" s="35"/>
    </row>
    <row r="37" spans="2:8" x14ac:dyDescent="0.35">
      <c r="C37" s="32" t="s">
        <v>51</v>
      </c>
      <c r="D37" s="33">
        <f>G16-D34</f>
        <v>1594000</v>
      </c>
      <c r="E37" s="36">
        <f>D37/G16</f>
        <v>0.39416419386745793</v>
      </c>
      <c r="F37" s="3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F3401-AAF0-4D93-9508-4855CE552CEB}">
  <dimension ref="B2:I50"/>
  <sheetViews>
    <sheetView tabSelected="1" zoomScale="70" zoomScaleNormal="70" workbookViewId="0">
      <selection activeCell="F7" sqref="F7"/>
    </sheetView>
  </sheetViews>
  <sheetFormatPr defaultRowHeight="14.5" x14ac:dyDescent="0.35"/>
  <cols>
    <col min="2" max="2" width="26.453125" customWidth="1"/>
    <col min="3" max="3" width="20.90625" customWidth="1"/>
    <col min="4" max="4" width="26.36328125" customWidth="1"/>
    <col min="5" max="5" width="20" customWidth="1"/>
    <col min="6" max="6" width="20.08984375" customWidth="1"/>
    <col min="7" max="7" width="18.1796875" customWidth="1"/>
    <col min="8" max="8" width="23.36328125" customWidth="1"/>
    <col min="9" max="9" width="16.7265625" customWidth="1"/>
  </cols>
  <sheetData>
    <row r="2" spans="2:9" ht="21" x14ac:dyDescent="0.5">
      <c r="B2" s="1" t="s">
        <v>0</v>
      </c>
      <c r="C2" s="1" t="s">
        <v>65</v>
      </c>
    </row>
    <row r="4" spans="2:9" x14ac:dyDescent="0.35">
      <c r="B4" t="s">
        <v>2</v>
      </c>
      <c r="C4" t="s">
        <v>66</v>
      </c>
    </row>
    <row r="5" spans="2:9" x14ac:dyDescent="0.35">
      <c r="B5" t="s">
        <v>4</v>
      </c>
    </row>
    <row r="6" spans="2:9" x14ac:dyDescent="0.35">
      <c r="B6" t="s">
        <v>5</v>
      </c>
      <c r="C6" t="s">
        <v>67</v>
      </c>
    </row>
    <row r="7" spans="2:9" x14ac:dyDescent="0.35">
      <c r="B7" t="s">
        <v>7</v>
      </c>
      <c r="C7" t="s">
        <v>68</v>
      </c>
    </row>
    <row r="8" spans="2:9" x14ac:dyDescent="0.35">
      <c r="B8" t="s">
        <v>16</v>
      </c>
      <c r="C8" s="40" t="s">
        <v>69</v>
      </c>
    </row>
    <row r="9" spans="2:9" x14ac:dyDescent="0.35">
      <c r="B9" t="s">
        <v>11</v>
      </c>
      <c r="C9" s="2"/>
    </row>
    <row r="10" spans="2:9" x14ac:dyDescent="0.35">
      <c r="B10" t="s">
        <v>12</v>
      </c>
      <c r="C10" t="s">
        <v>70</v>
      </c>
      <c r="H10" s="41"/>
      <c r="I10" s="41"/>
    </row>
    <row r="11" spans="2:9" x14ac:dyDescent="0.35">
      <c r="B11" t="s">
        <v>14</v>
      </c>
      <c r="C11" s="2"/>
      <c r="E11" t="s">
        <v>90</v>
      </c>
      <c r="G11" s="32" t="s">
        <v>50</v>
      </c>
      <c r="H11" s="42">
        <f>F28-F46</f>
        <v>7503000</v>
      </c>
      <c r="I11" s="43">
        <f>H11/F28</f>
        <v>0.39208511680326935</v>
      </c>
    </row>
    <row r="12" spans="2:9" x14ac:dyDescent="0.35">
      <c r="C12" s="2"/>
      <c r="G12" s="32" t="s">
        <v>51</v>
      </c>
      <c r="H12" s="33">
        <f>H28-F46</f>
        <v>7713497.6609999985</v>
      </c>
      <c r="I12" s="44">
        <f>H12/H28</f>
        <v>0.39869942314863432</v>
      </c>
    </row>
    <row r="13" spans="2:9" x14ac:dyDescent="0.35">
      <c r="E13" s="45">
        <v>18300</v>
      </c>
    </row>
    <row r="14" spans="2:9" x14ac:dyDescent="0.35">
      <c r="B14" s="5" t="s">
        <v>15</v>
      </c>
      <c r="C14" s="5" t="s">
        <v>16</v>
      </c>
      <c r="D14" s="5" t="s">
        <v>17</v>
      </c>
      <c r="E14" s="5" t="s">
        <v>71</v>
      </c>
      <c r="F14" s="5" t="s">
        <v>72</v>
      </c>
      <c r="G14" s="5" t="s">
        <v>19</v>
      </c>
      <c r="H14" s="5" t="s">
        <v>20</v>
      </c>
    </row>
    <row r="15" spans="2:9" x14ac:dyDescent="0.35">
      <c r="B15" s="6"/>
      <c r="C15" s="5"/>
      <c r="D15" s="7" t="str">
        <f>C4</f>
        <v>PT DIAMETRAL INVOLUTE</v>
      </c>
      <c r="E15" s="7"/>
      <c r="F15" s="8"/>
      <c r="G15" s="9"/>
      <c r="H15" s="10"/>
      <c r="I15" s="11" t="s">
        <v>22</v>
      </c>
    </row>
    <row r="16" spans="2:9" x14ac:dyDescent="0.35">
      <c r="B16" s="6" t="s">
        <v>73</v>
      </c>
      <c r="C16" s="6"/>
      <c r="D16" s="6"/>
      <c r="E16" s="6">
        <v>510</v>
      </c>
      <c r="F16" s="46">
        <f>E16*E13</f>
        <v>9333000</v>
      </c>
      <c r="G16" s="47"/>
      <c r="H16" s="47"/>
    </row>
    <row r="17" spans="2:9" x14ac:dyDescent="0.35">
      <c r="B17" s="6" t="s">
        <v>74</v>
      </c>
      <c r="C17" s="6"/>
      <c r="D17" s="6"/>
      <c r="E17" s="6">
        <v>40</v>
      </c>
      <c r="F17" s="46">
        <f>E13*E17</f>
        <v>732000</v>
      </c>
      <c r="G17" s="47"/>
      <c r="H17" s="47"/>
    </row>
    <row r="18" spans="2:9" x14ac:dyDescent="0.35">
      <c r="B18" s="6" t="s">
        <v>75</v>
      </c>
      <c r="C18" s="6"/>
      <c r="D18" s="6"/>
      <c r="E18" s="6"/>
      <c r="F18" s="46">
        <v>210000</v>
      </c>
      <c r="G18" s="47"/>
      <c r="H18" s="47"/>
    </row>
    <row r="19" spans="2:9" x14ac:dyDescent="0.35">
      <c r="B19" s="6" t="s">
        <v>63</v>
      </c>
      <c r="C19" s="6"/>
      <c r="D19" s="6"/>
      <c r="E19" s="6"/>
      <c r="F19" s="46">
        <v>250000</v>
      </c>
      <c r="G19" s="47"/>
      <c r="H19" s="47"/>
    </row>
    <row r="20" spans="2:9" x14ac:dyDescent="0.35">
      <c r="B20" s="6" t="s">
        <v>76</v>
      </c>
      <c r="C20" s="6"/>
      <c r="D20" s="6"/>
      <c r="E20" s="6"/>
      <c r="F20" s="29">
        <v>650000</v>
      </c>
      <c r="G20" s="47"/>
      <c r="H20" s="47"/>
    </row>
    <row r="21" spans="2:9" x14ac:dyDescent="0.35">
      <c r="B21" s="6" t="s">
        <v>77</v>
      </c>
      <c r="C21" s="6"/>
      <c r="D21" s="6"/>
      <c r="E21" s="6"/>
      <c r="F21" s="48">
        <v>200000</v>
      </c>
      <c r="G21" s="47"/>
      <c r="H21" s="47"/>
    </row>
    <row r="22" spans="2:9" x14ac:dyDescent="0.35">
      <c r="B22" s="6" t="s">
        <v>78</v>
      </c>
      <c r="C22" s="6"/>
      <c r="D22" s="6"/>
      <c r="E22" s="6"/>
      <c r="F22" s="46">
        <v>350000</v>
      </c>
      <c r="G22" s="47"/>
      <c r="H22" s="47"/>
    </row>
    <row r="23" spans="2:9" x14ac:dyDescent="0.35">
      <c r="B23" s="6" t="s">
        <v>38</v>
      </c>
      <c r="C23" s="6"/>
      <c r="D23" s="6"/>
      <c r="E23" s="49"/>
      <c r="F23" s="50">
        <v>2800000</v>
      </c>
      <c r="G23" s="6"/>
      <c r="H23" s="6"/>
    </row>
    <row r="24" spans="2:9" x14ac:dyDescent="0.35">
      <c r="B24" s="6" t="s">
        <v>79</v>
      </c>
      <c r="C24" s="6"/>
      <c r="D24" s="6"/>
      <c r="E24" s="49"/>
      <c r="F24" s="48">
        <v>2500000</v>
      </c>
      <c r="G24" s="6"/>
      <c r="H24" s="6"/>
    </row>
    <row r="25" spans="2:9" x14ac:dyDescent="0.35">
      <c r="B25" s="6" t="s">
        <v>80</v>
      </c>
      <c r="C25" s="6"/>
      <c r="D25" s="6"/>
      <c r="E25" s="6"/>
      <c r="F25" s="51">
        <v>500000</v>
      </c>
      <c r="G25" s="10"/>
      <c r="H25" s="6"/>
    </row>
    <row r="26" spans="2:9" x14ac:dyDescent="0.35">
      <c r="B26" s="6" t="s">
        <v>81</v>
      </c>
      <c r="C26" s="6"/>
      <c r="D26" s="6"/>
      <c r="E26" s="6"/>
      <c r="F26" s="51">
        <f>F44</f>
        <v>1611151</v>
      </c>
      <c r="G26" s="10"/>
      <c r="H26" s="6"/>
    </row>
    <row r="27" spans="2:9" x14ac:dyDescent="0.35">
      <c r="B27" s="6"/>
      <c r="C27" s="6"/>
      <c r="D27" s="6"/>
      <c r="E27" s="6"/>
      <c r="F27" s="51"/>
      <c r="G27" s="10"/>
      <c r="H27" s="6"/>
    </row>
    <row r="28" spans="2:9" x14ac:dyDescent="0.35">
      <c r="B28" s="6"/>
      <c r="C28" s="6"/>
      <c r="D28" s="6"/>
      <c r="E28" s="6"/>
      <c r="F28" s="52">
        <f>SUM(F16:F26)</f>
        <v>19136151</v>
      </c>
      <c r="G28" s="53">
        <f>F28*1.1%</f>
        <v>210497.66100000002</v>
      </c>
      <c r="H28" s="53">
        <f>F28+G28</f>
        <v>19346648.660999998</v>
      </c>
      <c r="I28" s="54" t="s">
        <v>82</v>
      </c>
    </row>
    <row r="29" spans="2:9" x14ac:dyDescent="0.35">
      <c r="B29" s="55" t="s">
        <v>83</v>
      </c>
      <c r="C29" s="6"/>
      <c r="D29" s="6"/>
      <c r="E29" s="6"/>
      <c r="F29" s="6"/>
      <c r="G29" s="6"/>
      <c r="H29" s="6"/>
      <c r="I29" s="56"/>
    </row>
    <row r="30" spans="2:9" x14ac:dyDescent="0.35">
      <c r="B30" s="6" t="s">
        <v>84</v>
      </c>
      <c r="C30" s="6"/>
      <c r="D30" s="6"/>
      <c r="E30" s="6"/>
      <c r="F30" s="57">
        <v>530580</v>
      </c>
      <c r="G30" s="10"/>
      <c r="H30" s="57">
        <v>530580</v>
      </c>
      <c r="I30" s="56" t="s">
        <v>85</v>
      </c>
    </row>
    <row r="31" spans="2:9" x14ac:dyDescent="0.35">
      <c r="B31" s="6" t="s">
        <v>86</v>
      </c>
      <c r="C31" s="6"/>
      <c r="D31" s="6"/>
      <c r="E31" s="6"/>
      <c r="F31" s="57">
        <v>651946</v>
      </c>
      <c r="G31" s="6"/>
      <c r="H31" s="57">
        <v>651946</v>
      </c>
      <c r="I31" s="56" t="s">
        <v>85</v>
      </c>
    </row>
    <row r="32" spans="2:9" x14ac:dyDescent="0.35">
      <c r="B32" s="6" t="s">
        <v>87</v>
      </c>
      <c r="C32" s="6"/>
      <c r="D32" s="6"/>
      <c r="E32" s="6"/>
      <c r="F32" s="57">
        <v>480000</v>
      </c>
      <c r="G32" s="6"/>
      <c r="H32" s="57">
        <v>480000</v>
      </c>
      <c r="I32" s="56"/>
    </row>
    <row r="33" spans="2:9" x14ac:dyDescent="0.35">
      <c r="F33" s="37"/>
    </row>
    <row r="34" spans="2:9" x14ac:dyDescent="0.35">
      <c r="B34" s="11" t="s">
        <v>25</v>
      </c>
    </row>
    <row r="35" spans="2:9" x14ac:dyDescent="0.35">
      <c r="B35" s="5" t="s">
        <v>15</v>
      </c>
      <c r="C35" s="5" t="s">
        <v>16</v>
      </c>
      <c r="D35" s="5" t="s">
        <v>17</v>
      </c>
      <c r="E35" s="5" t="s">
        <v>71</v>
      </c>
      <c r="F35" s="5" t="s">
        <v>72</v>
      </c>
      <c r="G35" s="5" t="s">
        <v>26</v>
      </c>
      <c r="H35" s="5" t="s">
        <v>28</v>
      </c>
      <c r="I35" s="5" t="s">
        <v>29</v>
      </c>
    </row>
    <row r="36" spans="2:9" x14ac:dyDescent="0.35">
      <c r="B36" s="6" t="s">
        <v>73</v>
      </c>
      <c r="C36" s="5"/>
      <c r="D36" s="5" t="s">
        <v>88</v>
      </c>
      <c r="E36" s="29"/>
      <c r="F36" s="29">
        <v>4941000</v>
      </c>
      <c r="G36" s="6"/>
      <c r="H36" s="6"/>
      <c r="I36" s="6"/>
    </row>
    <row r="37" spans="2:9" x14ac:dyDescent="0.35">
      <c r="B37" s="6" t="s">
        <v>74</v>
      </c>
      <c r="C37" s="5"/>
      <c r="D37" s="5"/>
      <c r="E37" s="29"/>
      <c r="F37" s="29">
        <v>666000</v>
      </c>
      <c r="G37" s="6"/>
      <c r="H37" s="6"/>
      <c r="I37" s="6"/>
    </row>
    <row r="38" spans="2:9" x14ac:dyDescent="0.35">
      <c r="B38" s="6" t="s">
        <v>76</v>
      </c>
      <c r="C38" s="6"/>
      <c r="D38" s="6"/>
      <c r="E38" s="29"/>
      <c r="F38" s="29">
        <v>300000</v>
      </c>
      <c r="G38" s="6"/>
      <c r="H38" s="6"/>
      <c r="I38" s="6"/>
    </row>
    <row r="39" spans="2:9" x14ac:dyDescent="0.35">
      <c r="B39" s="6" t="s">
        <v>77</v>
      </c>
      <c r="C39" s="6"/>
      <c r="D39" s="6"/>
      <c r="E39" s="29"/>
      <c r="F39" s="29">
        <v>35000</v>
      </c>
      <c r="G39" s="6"/>
      <c r="H39" s="6"/>
      <c r="I39" s="6"/>
    </row>
    <row r="40" spans="2:9" x14ac:dyDescent="0.35">
      <c r="B40" s="6" t="s">
        <v>78</v>
      </c>
      <c r="C40" s="6"/>
      <c r="D40" s="6"/>
      <c r="E40" s="29"/>
      <c r="F40" s="19">
        <v>150000</v>
      </c>
      <c r="G40" s="6"/>
      <c r="H40" s="6"/>
      <c r="I40" s="6"/>
    </row>
    <row r="41" spans="2:9" x14ac:dyDescent="0.35">
      <c r="B41" s="6" t="s">
        <v>38</v>
      </c>
      <c r="C41" s="6"/>
      <c r="D41" s="6"/>
      <c r="E41" s="19"/>
      <c r="F41" s="58">
        <v>2150000</v>
      </c>
      <c r="G41" s="6"/>
      <c r="H41" s="6"/>
      <c r="I41" s="6"/>
    </row>
    <row r="42" spans="2:9" x14ac:dyDescent="0.35">
      <c r="B42" s="6" t="s">
        <v>89</v>
      </c>
      <c r="C42" s="6"/>
      <c r="D42" s="6"/>
      <c r="E42" s="19"/>
      <c r="F42" s="58">
        <v>1480000</v>
      </c>
      <c r="G42" s="6"/>
      <c r="H42" s="6"/>
      <c r="I42" s="6"/>
    </row>
    <row r="43" spans="2:9" x14ac:dyDescent="0.35">
      <c r="B43" s="6" t="s">
        <v>80</v>
      </c>
      <c r="C43" s="6"/>
      <c r="D43" s="6"/>
      <c r="E43" s="58"/>
      <c r="F43" s="58">
        <v>300000</v>
      </c>
      <c r="G43" s="18"/>
      <c r="H43" s="6"/>
      <c r="I43" s="6"/>
    </row>
    <row r="44" spans="2:9" x14ac:dyDescent="0.35">
      <c r="B44" s="6" t="s">
        <v>81</v>
      </c>
      <c r="C44" s="6"/>
      <c r="D44" s="6"/>
      <c r="E44" s="58"/>
      <c r="F44" s="58">
        <v>1611151</v>
      </c>
      <c r="G44" s="18"/>
      <c r="H44" s="6"/>
      <c r="I44" s="6"/>
    </row>
    <row r="45" spans="2:9" x14ac:dyDescent="0.35">
      <c r="B45" s="6"/>
      <c r="C45" s="6"/>
      <c r="D45" s="59"/>
      <c r="E45" s="58"/>
      <c r="F45" s="58"/>
      <c r="G45" s="18"/>
      <c r="H45" s="6"/>
      <c r="I45" s="6"/>
    </row>
    <row r="46" spans="2:9" x14ac:dyDescent="0.35">
      <c r="B46" s="6"/>
      <c r="C46" s="6"/>
      <c r="D46" s="59"/>
      <c r="E46" s="58"/>
      <c r="F46" s="52">
        <f>SUM(F36:F44)</f>
        <v>11633151</v>
      </c>
      <c r="G46" s="60"/>
      <c r="H46" s="60"/>
      <c r="I46" s="6"/>
    </row>
    <row r="47" spans="2:9" x14ac:dyDescent="0.35">
      <c r="B47" s="55" t="s">
        <v>83</v>
      </c>
      <c r="C47" s="6"/>
      <c r="F47" s="6"/>
      <c r="G47" s="6"/>
      <c r="H47" s="6"/>
      <c r="I47" s="61"/>
    </row>
    <row r="48" spans="2:9" x14ac:dyDescent="0.35">
      <c r="B48" s="62" t="s">
        <v>84</v>
      </c>
      <c r="C48" s="62"/>
      <c r="D48" s="63"/>
      <c r="E48" s="64"/>
      <c r="F48" s="65">
        <v>530580</v>
      </c>
      <c r="G48" s="66"/>
      <c r="H48" s="67"/>
      <c r="I48" s="68"/>
    </row>
    <row r="49" spans="2:9" x14ac:dyDescent="0.35">
      <c r="B49" s="6" t="s">
        <v>86</v>
      </c>
      <c r="C49" s="6"/>
      <c r="D49" s="6"/>
      <c r="E49" s="6"/>
      <c r="F49" s="57">
        <v>651946</v>
      </c>
      <c r="G49" s="6"/>
      <c r="H49" s="57"/>
      <c r="I49" s="61"/>
    </row>
    <row r="50" spans="2:9" x14ac:dyDescent="0.35">
      <c r="B50" s="6" t="s">
        <v>87</v>
      </c>
      <c r="C50" s="6"/>
      <c r="D50" s="69"/>
      <c r="E50" s="69"/>
      <c r="F50" s="57">
        <v>480000</v>
      </c>
      <c r="G50" s="6"/>
      <c r="H50" s="6"/>
      <c r="I5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 DOMESTIK FCL</vt:lpstr>
      <vt:lpstr>CONTOH LCL</vt:lpstr>
      <vt:lpstr>SO SEA EXIM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Fairul Ikhsan</dc:creator>
  <cp:lastModifiedBy>Fairul Ikhsan</cp:lastModifiedBy>
  <dcterms:created xsi:type="dcterms:W3CDTF">2026-08-12T07:37:17Z</dcterms:created>
  <dcterms:modified xsi:type="dcterms:W3CDTF">2026-08-12T09:12:27Z</dcterms:modified>
</cp:coreProperties>
</file>